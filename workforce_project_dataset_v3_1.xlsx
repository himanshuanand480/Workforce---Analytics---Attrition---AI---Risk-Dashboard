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jjwa\OneDrive\DA Project\"/>
    </mc:Choice>
  </mc:AlternateContent>
  <xr:revisionPtr revIDLastSave="0" documentId="13_ncr:1_{88A79ACD-7C5B-4D4D-8CA4-F697B5FB2BF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Employee_Data" sheetId="1" r:id="rId1"/>
    <sheet name="Chart1" sheetId="3" r:id="rId2"/>
    <sheet name="Chart2" sheetId="4" r:id="rId3"/>
    <sheet name="Job_Data" sheetId="2" r:id="rId4"/>
    <sheet name="Chart3" sheetId="5" r:id="rId5"/>
    <sheet name="Summary" sheetId="6" r:id="rId6"/>
  </sheets>
  <calcPr calcId="191029"/>
  <pivotCaches>
    <pivotCache cacheId="6" r:id="rId7"/>
    <pivotCache cacheId="1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2" i="6"/>
  <c r="B5" i="6"/>
  <c r="B4" i="6"/>
  <c r="B3" i="6"/>
  <c r="B2" i="6"/>
</calcChain>
</file>

<file path=xl/sharedStrings.xml><?xml version="1.0" encoding="utf-8"?>
<sst xmlns="http://schemas.openxmlformats.org/spreadsheetml/2006/main" count="1104" uniqueCount="50">
  <si>
    <t>Employee_ID</t>
  </si>
  <si>
    <t>Age</t>
  </si>
  <si>
    <t>Department</t>
  </si>
  <si>
    <t>Working_Hours</t>
  </si>
  <si>
    <t>Work_Life_Balance</t>
  </si>
  <si>
    <t>Job_Satisfaction</t>
  </si>
  <si>
    <t>Experience</t>
  </si>
  <si>
    <t>Skill</t>
  </si>
  <si>
    <t>Attrition</t>
  </si>
  <si>
    <t>Software</t>
  </si>
  <si>
    <t>Python</t>
  </si>
  <si>
    <t>Yes</t>
  </si>
  <si>
    <t>Data</t>
  </si>
  <si>
    <t>Power BI</t>
  </si>
  <si>
    <t>No</t>
  </si>
  <si>
    <t>SQL</t>
  </si>
  <si>
    <t>Electrical</t>
  </si>
  <si>
    <t>MATLAB</t>
  </si>
  <si>
    <t>Mechanical</t>
  </si>
  <si>
    <t>CAD</t>
  </si>
  <si>
    <t>Java</t>
  </si>
  <si>
    <t>AI</t>
  </si>
  <si>
    <t>Machine Learning</t>
  </si>
  <si>
    <t>Job_Role</t>
  </si>
  <si>
    <t>Required_Skill</t>
  </si>
  <si>
    <t>Experience_Required</t>
  </si>
  <si>
    <t>Salary_Offered</t>
  </si>
  <si>
    <t>AI_Risk_Level</t>
  </si>
  <si>
    <t>Software Engineer</t>
  </si>
  <si>
    <t>Low</t>
  </si>
  <si>
    <t>Electrical Engineer</t>
  </si>
  <si>
    <t>Medium</t>
  </si>
  <si>
    <t>Data Analyst</t>
  </si>
  <si>
    <t>Mechanical Engineer</t>
  </si>
  <si>
    <t>ML Engineer</t>
  </si>
  <si>
    <t xml:space="preserve">Salary </t>
  </si>
  <si>
    <t>Domain</t>
  </si>
  <si>
    <t>Column Labels</t>
  </si>
  <si>
    <t>Grand Total</t>
  </si>
  <si>
    <t>Row Labels</t>
  </si>
  <si>
    <t>Count of Employee_ID</t>
  </si>
  <si>
    <t>Count of Experience_Required</t>
  </si>
  <si>
    <t>Metric</t>
  </si>
  <si>
    <t>Value</t>
  </si>
  <si>
    <t>Total Employees</t>
  </si>
  <si>
    <t>Total Attrition</t>
  </si>
  <si>
    <t>Avg Salary</t>
  </si>
  <si>
    <t>Attrition Rate</t>
  </si>
  <si>
    <t>Count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</si>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</sst>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8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9" borderId="0" xfId="0" applyFill="1" applyAlignment="1">
      <alignment horizontal="left"/>
    </xf>
    <xf numFmtId="0" fontId="0" fillId="9" borderId="0" xfId="0" applyNumberFormat="1" applyFill="1"/>
    <xf numFmtId="0" fontId="0" fillId="10" borderId="0" xfId="0" applyFill="1"/>
    <xf numFmtId="0" fontId="0" fillId="11" borderId="0" xfId="0" applyFill="1"/>
    <xf numFmtId="0" fontId="0" fillId="7" borderId="0" xfId="0" applyFill="1"/>
  </cellXfs>
  <cellStyles count="1">
    <cellStyle name="Normal" xfId="0" builtinId="0"/>
  </cellStyles>
  <dxfs count="48"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5" tint="0.59999389629810485"/>
        </patternFill>
      </fill>
    </dxf>
    <dxf>
      <fill>
        <patternFill>
          <bgColor theme="6" tint="0.39997558519241921"/>
        </patternFill>
      </fill>
    </dxf>
    <dxf>
      <fill>
        <patternFill>
          <bgColor theme="5" tint="0.599993896298104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39997558519241921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39997558519241921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numFmt numFmtId="2" formatCode="0.00"/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colors>
    <mruColors>
      <color rgb="FFFF99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[workforce_project_dataset_v3_1.xlsx]Chart1!PivotTable1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dk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dk1"/>
                </a:solidFill>
                <a:latin typeface="+mn-lt"/>
                <a:ea typeface="+mn-ea"/>
                <a:cs typeface="+mn-cs"/>
              </a:rPr>
              <a:t>Employee Attrition</a:t>
            </a:r>
            <a:endParaRPr lang="en-IN"/>
          </a:p>
        </c:rich>
      </c:tx>
      <c:overlay val="0"/>
      <c:spPr>
        <a:gradFill rotWithShape="1">
          <a:gsLst>
            <a:gs pos="0">
              <a:schemeClr val="accent3">
                <a:tint val="50000"/>
                <a:satMod val="300000"/>
              </a:schemeClr>
            </a:gs>
            <a:gs pos="35000">
              <a:schemeClr val="accent3">
                <a:tint val="37000"/>
                <a:satMod val="300000"/>
              </a:schemeClr>
            </a:gs>
            <a:gs pos="100000">
              <a:schemeClr val="accent3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accent3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Chart1!$B$3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Chart1!$A$4:$A$6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Chart1!$B$4:$B$6</c:f>
              <c:numCache>
                <c:formatCode>General</c:formatCode>
                <c:ptCount val="2"/>
                <c:pt idx="0">
                  <c:v>65</c:v>
                </c:pt>
                <c:pt idx="1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F-4A76-B7AF-531D53C68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118080"/>
        <c:axId val="124113760"/>
        <c:axId val="0"/>
      </c:bar3DChart>
      <c:catAx>
        <c:axId val="124118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Number of Employees</a:t>
                </a:r>
              </a:p>
              <a:p>
                <a:pPr>
                  <a:defRPr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3760"/>
        <c:crosses val="autoZero"/>
        <c:auto val="1"/>
        <c:lblAlgn val="ctr"/>
        <c:lblOffset val="100"/>
        <c:noMultiLvlLbl val="0"/>
      </c:catAx>
      <c:valAx>
        <c:axId val="12411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Attrition</a:t>
                </a:r>
                <a:endParaRPr lang="en-IN"/>
              </a:p>
            </c:rich>
          </c:tx>
          <c:overlay val="0"/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180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[workforce_project_dataset_v3_1.xlsx]Chart2!PivotTable2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Domain vs  Employee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Chart2!$B$3:$B$4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Chart2!$A$5:$A$10</c:f>
              <c:strCache>
                <c:ptCount val="5"/>
                <c:pt idx="0">
                  <c:v>AI</c:v>
                </c:pt>
                <c:pt idx="1">
                  <c:v>Data</c:v>
                </c:pt>
                <c:pt idx="2">
                  <c:v>Electrical</c:v>
                </c:pt>
                <c:pt idx="3">
                  <c:v>Mechanical</c:v>
                </c:pt>
                <c:pt idx="4">
                  <c:v>Software</c:v>
                </c:pt>
              </c:strCache>
            </c:strRef>
          </c:cat>
          <c:val>
            <c:numRef>
              <c:f>Chart2!$B$5:$B$10</c:f>
              <c:numCache>
                <c:formatCode>General</c:formatCode>
                <c:ptCount val="5"/>
                <c:pt idx="0">
                  <c:v>11</c:v>
                </c:pt>
                <c:pt idx="1">
                  <c:v>18</c:v>
                </c:pt>
                <c:pt idx="2">
                  <c:v>10</c:v>
                </c:pt>
                <c:pt idx="3">
                  <c:v>17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8-433E-B4A1-9411948ED7C2}"/>
            </c:ext>
          </c:extLst>
        </c:ser>
        <c:ser>
          <c:idx val="1"/>
          <c:order val="1"/>
          <c:tx>
            <c:strRef>
              <c:f>Chart2!$C$3:$C$4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Chart2!$A$5:$A$10</c:f>
              <c:strCache>
                <c:ptCount val="5"/>
                <c:pt idx="0">
                  <c:v>AI</c:v>
                </c:pt>
                <c:pt idx="1">
                  <c:v>Data</c:v>
                </c:pt>
                <c:pt idx="2">
                  <c:v>Electrical</c:v>
                </c:pt>
                <c:pt idx="3">
                  <c:v>Mechanical</c:v>
                </c:pt>
                <c:pt idx="4">
                  <c:v>Software</c:v>
                </c:pt>
              </c:strCache>
            </c:strRef>
          </c:cat>
          <c:val>
            <c:numRef>
              <c:f>Chart2!$C$5:$C$10</c:f>
              <c:numCache>
                <c:formatCode>General</c:formatCode>
                <c:ptCount val="5"/>
                <c:pt idx="0">
                  <c:v>26</c:v>
                </c:pt>
                <c:pt idx="1">
                  <c:v>33</c:v>
                </c:pt>
                <c:pt idx="2">
                  <c:v>27</c:v>
                </c:pt>
                <c:pt idx="3">
                  <c:v>25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8-433E-B4A1-9411948ED7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18406928"/>
        <c:axId val="518407408"/>
        <c:axId val="0"/>
      </c:bar3DChart>
      <c:catAx>
        <c:axId val="51840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Domain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07408"/>
        <c:crosses val="autoZero"/>
        <c:auto val="1"/>
        <c:lblAlgn val="ctr"/>
        <c:lblOffset val="100"/>
        <c:noMultiLvlLbl val="0"/>
      </c:catAx>
      <c:valAx>
        <c:axId val="51840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069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[workforce_project_dataset_v3_1.xlsx]Chart3!PivotTable3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Skill Distribution</a:t>
            </a:r>
            <a:endParaRPr lang="en-US"/>
          </a:p>
        </c:rich>
      </c:tx>
      <c:overlay val="0"/>
      <c:spPr>
        <a:solidFill>
          <a:schemeClr val="accent2"/>
        </a:solidFill>
        <a:ln w="25400" cap="flat" cmpd="sng" algn="ctr">
          <a:solidFill>
            <a:schemeClr val="accent2">
              <a:shade val="15000"/>
            </a:schemeClr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accent3">
                <a:lumMod val="75000"/>
              </a:schemeClr>
            </a:solidFill>
            <a:round/>
          </a:ln>
          <a:effectLst/>
          <a:sp3d contourW="9525">
            <a:contourClr>
              <a:schemeClr val="accent3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Chart3!$B$3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Chart3!$A$4:$A$9</c:f>
              <c:strCache>
                <c:ptCount val="5"/>
                <c:pt idx="0">
                  <c:v>CAD</c:v>
                </c:pt>
                <c:pt idx="1">
                  <c:v>MATLAB</c:v>
                </c:pt>
                <c:pt idx="2">
                  <c:v>Power BI</c:v>
                </c:pt>
                <c:pt idx="3">
                  <c:v>Python</c:v>
                </c:pt>
                <c:pt idx="4">
                  <c:v>SQL</c:v>
                </c:pt>
              </c:strCache>
            </c:strRef>
          </c:cat>
          <c:val>
            <c:numRef>
              <c:f>Chart3!$B$4:$B$9</c:f>
              <c:numCache>
                <c:formatCode>General</c:formatCode>
                <c:ptCount val="5"/>
                <c:pt idx="0">
                  <c:v>31</c:v>
                </c:pt>
                <c:pt idx="1">
                  <c:v>35</c:v>
                </c:pt>
                <c:pt idx="2">
                  <c:v>26</c:v>
                </c:pt>
                <c:pt idx="3">
                  <c:v>35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9-4323-8DE4-83282D4994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518410768"/>
        <c:axId val="518426128"/>
        <c:axId val="0"/>
      </c:bar3DChart>
      <c:catAx>
        <c:axId val="518410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Count</a:t>
                </a:r>
                <a:endParaRPr lang="en-IN"/>
              </a:p>
            </c:rich>
          </c:tx>
          <c:overlay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26128"/>
        <c:crosses val="autoZero"/>
        <c:auto val="1"/>
        <c:lblAlgn val="ctr"/>
        <c:lblOffset val="100"/>
        <c:noMultiLvlLbl val="0"/>
      </c:catAx>
      <c:valAx>
        <c:axId val="51842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Required</a:t>
                </a:r>
                <a:r>
                  <a:rPr lang="en-IN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 Skills</a:t>
                </a:r>
                <a:endParaRPr lang="en-IN"/>
              </a:p>
            </c:rich>
          </c:tx>
          <c:overlay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107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6</xdr:row>
      <xdr:rowOff>68580</xdr:rowOff>
    </xdr:from>
    <xdr:to>
      <xdr:col>28</xdr:col>
      <xdr:colOff>76200</xdr:colOff>
      <xdr:row>28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88EA96-1DB4-5F21-0DCA-A37F5768A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11</xdr:row>
      <xdr:rowOff>152400</xdr:rowOff>
    </xdr:from>
    <xdr:to>
      <xdr:col>12</xdr:col>
      <xdr:colOff>464820</xdr:colOff>
      <xdr:row>28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B8EAA-F99A-4B70-DD7F-27BAF6A31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8</xdr:row>
      <xdr:rowOff>57150</xdr:rowOff>
    </xdr:from>
    <xdr:to>
      <xdr:col>15</xdr:col>
      <xdr:colOff>320040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90012A-8513-8DC8-ADD1-BE1C1F16F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JJWAL ANAND" refreshedDate="46116.839485532408" createdVersion="8" refreshedVersion="8" minRefreshableVersion="3" recordCount="200" xr:uid="{B0C435AA-326E-4F95-A354-85BCA3EF377C}">
  <cacheSource type="worksheet">
    <worksheetSource name="Table1"/>
  </cacheSource>
  <cacheFields count="10">
    <cacheField name="Employee_ID" numFmtId="0">
      <sharedItems containsSemiMixedTypes="0" containsString="0" containsNumber="1" containsInteger="1" minValue="101" maxValue="300" count="20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</sharedItems>
    </cacheField>
    <cacheField name="Age" numFmtId="0">
      <sharedItems containsSemiMixedTypes="0" containsString="0" containsNumber="1" containsInteger="1" minValue="22" maxValue="45"/>
    </cacheField>
    <cacheField name="Domain" numFmtId="0">
      <sharedItems count="5">
        <s v="Software"/>
        <s v="Data"/>
        <s v="Electrical"/>
        <s v="Mechanical"/>
        <s v="AI"/>
      </sharedItems>
    </cacheField>
    <cacheField name="Salary " numFmtId="0">
      <sharedItems containsSemiMixedTypes="0" containsString="0" containsNumber="1" containsInteger="1" minValue="25039" maxValue="89860"/>
    </cacheField>
    <cacheField name="Working_Hours" numFmtId="0">
      <sharedItems containsSemiMixedTypes="0" containsString="0" containsNumber="1" containsInteger="1" minValue="6" maxValue="10"/>
    </cacheField>
    <cacheField name="Work_Life_Balance" numFmtId="0">
      <sharedItems containsSemiMixedTypes="0" containsString="0" containsNumber="1" containsInteger="1" minValue="2" maxValue="5"/>
    </cacheField>
    <cacheField name="Job_Satisfaction" numFmtId="0">
      <sharedItems containsSemiMixedTypes="0" containsString="0" containsNumber="1" containsInteger="1" minValue="1" maxValue="5"/>
    </cacheField>
    <cacheField name="Experience" numFmtId="0">
      <sharedItems containsSemiMixedTypes="0" containsString="0" containsNumber="1" containsInteger="1" minValue="0" maxValue="10"/>
    </cacheField>
    <cacheField name="Skill" numFmtId="0">
      <sharedItems/>
    </cacheField>
    <cacheField name="Attritio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JJWAL ANAND" refreshedDate="46116.856147453705" createdVersion="8" refreshedVersion="8" minRefreshableVersion="3" recordCount="150" xr:uid="{C956941E-FB9B-4713-90CF-2BC880732E09}">
  <cacheSource type="worksheet">
    <worksheetSource name="Table2"/>
  </cacheSource>
  <cacheFields count="5">
    <cacheField name="Job_Role" numFmtId="0">
      <sharedItems/>
    </cacheField>
    <cacheField name="Required_Skill" numFmtId="0">
      <sharedItems count="5">
        <s v="Power BI"/>
        <s v="Python"/>
        <s v="SQL"/>
        <s v="MATLAB"/>
        <s v="CAD"/>
      </sharedItems>
    </cacheField>
    <cacheField name="Experience_Required" numFmtId="0">
      <sharedItems containsSemiMixedTypes="0" containsString="0" containsNumber="1" containsInteger="1" minValue="0" maxValue="5" count="6">
        <n v="0"/>
        <n v="1"/>
        <n v="3"/>
        <n v="2"/>
        <n v="4"/>
        <n v="5"/>
      </sharedItems>
    </cacheField>
    <cacheField name="Salary_Offered" numFmtId="0">
      <sharedItems containsSemiMixedTypes="0" containsString="0" containsNumber="1" containsInteger="1" minValue="30648" maxValue="99821"/>
    </cacheField>
    <cacheField name="AI_Risk_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29"/>
    <x v="0"/>
    <n v="38188"/>
    <n v="9"/>
    <n v="3"/>
    <n v="4"/>
    <n v="6"/>
    <s v="Python"/>
    <x v="0"/>
  </r>
  <r>
    <x v="1"/>
    <n v="36"/>
    <x v="1"/>
    <n v="30309"/>
    <n v="10"/>
    <n v="2"/>
    <n v="2"/>
    <n v="8"/>
    <s v="Power BI"/>
    <x v="0"/>
  </r>
  <r>
    <x v="2"/>
    <n v="45"/>
    <x v="0"/>
    <n v="78608"/>
    <n v="7"/>
    <n v="5"/>
    <n v="5"/>
    <n v="3"/>
    <s v="Python"/>
    <x v="1"/>
  </r>
  <r>
    <x v="3"/>
    <n v="22"/>
    <x v="1"/>
    <n v="71743"/>
    <n v="6"/>
    <n v="5"/>
    <n v="4"/>
    <n v="8"/>
    <s v="Power BI"/>
    <x v="1"/>
  </r>
  <r>
    <x v="4"/>
    <n v="36"/>
    <x v="1"/>
    <n v="46576"/>
    <n v="7"/>
    <n v="5"/>
    <n v="2"/>
    <n v="0"/>
    <s v="SQL"/>
    <x v="0"/>
  </r>
  <r>
    <x v="5"/>
    <n v="32"/>
    <x v="2"/>
    <n v="45952"/>
    <n v="10"/>
    <n v="2"/>
    <n v="5"/>
    <n v="1"/>
    <s v="MATLAB"/>
    <x v="0"/>
  </r>
  <r>
    <x v="6"/>
    <n v="28"/>
    <x v="1"/>
    <n v="53508"/>
    <n v="6"/>
    <n v="5"/>
    <n v="4"/>
    <n v="9"/>
    <s v="Power BI"/>
    <x v="1"/>
  </r>
  <r>
    <x v="7"/>
    <n v="33"/>
    <x v="3"/>
    <n v="47415"/>
    <n v="8"/>
    <n v="4"/>
    <n v="5"/>
    <n v="8"/>
    <s v="CAD"/>
    <x v="1"/>
  </r>
  <r>
    <x v="8"/>
    <n v="43"/>
    <x v="0"/>
    <n v="81446"/>
    <n v="6"/>
    <n v="5"/>
    <n v="2"/>
    <n v="7"/>
    <s v="Java"/>
    <x v="0"/>
  </r>
  <r>
    <x v="9"/>
    <n v="32"/>
    <x v="4"/>
    <n v="35493"/>
    <n v="6"/>
    <n v="5"/>
    <n v="4"/>
    <n v="6"/>
    <s v="Machine Learning"/>
    <x v="0"/>
  </r>
  <r>
    <x v="10"/>
    <n v="39"/>
    <x v="2"/>
    <n v="52830"/>
    <n v="9"/>
    <n v="3"/>
    <n v="3"/>
    <n v="9"/>
    <s v="MATLAB"/>
    <x v="1"/>
  </r>
  <r>
    <x v="11"/>
    <n v="33"/>
    <x v="4"/>
    <n v="33504"/>
    <n v="6"/>
    <n v="5"/>
    <n v="5"/>
    <n v="6"/>
    <s v="Python"/>
    <x v="0"/>
  </r>
  <r>
    <x v="12"/>
    <n v="40"/>
    <x v="3"/>
    <n v="74044"/>
    <n v="7"/>
    <n v="5"/>
    <n v="2"/>
    <n v="7"/>
    <s v="CAD"/>
    <x v="0"/>
  </r>
  <r>
    <x v="13"/>
    <n v="41"/>
    <x v="1"/>
    <n v="53038"/>
    <n v="9"/>
    <n v="3"/>
    <n v="5"/>
    <n v="0"/>
    <s v="SQL"/>
    <x v="1"/>
  </r>
  <r>
    <x v="14"/>
    <n v="30"/>
    <x v="1"/>
    <n v="76638"/>
    <n v="7"/>
    <n v="5"/>
    <n v="5"/>
    <n v="8"/>
    <s v="Power BI"/>
    <x v="1"/>
  </r>
  <r>
    <x v="15"/>
    <n v="45"/>
    <x v="4"/>
    <n v="36429"/>
    <n v="7"/>
    <n v="5"/>
    <n v="3"/>
    <n v="0"/>
    <s v="Machine Learning"/>
    <x v="0"/>
  </r>
  <r>
    <x v="16"/>
    <n v="24"/>
    <x v="1"/>
    <n v="26489"/>
    <n v="8"/>
    <n v="4"/>
    <n v="4"/>
    <n v="8"/>
    <s v="Power BI"/>
    <x v="0"/>
  </r>
  <r>
    <x v="17"/>
    <n v="39"/>
    <x v="2"/>
    <n v="52893"/>
    <n v="8"/>
    <n v="4"/>
    <n v="3"/>
    <n v="8"/>
    <s v="MATLAB"/>
    <x v="1"/>
  </r>
  <r>
    <x v="18"/>
    <n v="40"/>
    <x v="1"/>
    <n v="70869"/>
    <n v="7"/>
    <n v="5"/>
    <n v="2"/>
    <n v="0"/>
    <s v="Power BI"/>
    <x v="0"/>
  </r>
  <r>
    <x v="19"/>
    <n v="27"/>
    <x v="4"/>
    <n v="29156"/>
    <n v="9"/>
    <n v="3"/>
    <n v="5"/>
    <n v="10"/>
    <s v="Python"/>
    <x v="0"/>
  </r>
  <r>
    <x v="20"/>
    <n v="26"/>
    <x v="4"/>
    <n v="44126"/>
    <n v="9"/>
    <n v="3"/>
    <n v="1"/>
    <n v="3"/>
    <s v="Python"/>
    <x v="0"/>
  </r>
  <r>
    <x v="21"/>
    <n v="23"/>
    <x v="0"/>
    <n v="38210"/>
    <n v="8"/>
    <n v="4"/>
    <n v="1"/>
    <n v="8"/>
    <s v="Java"/>
    <x v="0"/>
  </r>
  <r>
    <x v="22"/>
    <n v="35"/>
    <x v="1"/>
    <n v="86147"/>
    <n v="9"/>
    <n v="3"/>
    <n v="5"/>
    <n v="10"/>
    <s v="SQL"/>
    <x v="1"/>
  </r>
  <r>
    <x v="23"/>
    <n v="34"/>
    <x v="0"/>
    <n v="36245"/>
    <n v="8"/>
    <n v="4"/>
    <n v="1"/>
    <n v="4"/>
    <s v="Java"/>
    <x v="0"/>
  </r>
  <r>
    <x v="24"/>
    <n v="44"/>
    <x v="1"/>
    <n v="33458"/>
    <n v="8"/>
    <n v="4"/>
    <n v="4"/>
    <n v="9"/>
    <s v="Power BI"/>
    <x v="0"/>
  </r>
  <r>
    <x v="25"/>
    <n v="43"/>
    <x v="2"/>
    <n v="53194"/>
    <n v="8"/>
    <n v="4"/>
    <n v="5"/>
    <n v="7"/>
    <s v="MATLAB"/>
    <x v="1"/>
  </r>
  <r>
    <x v="26"/>
    <n v="34"/>
    <x v="4"/>
    <n v="45327"/>
    <n v="9"/>
    <n v="3"/>
    <n v="1"/>
    <n v="4"/>
    <s v="Python"/>
    <x v="0"/>
  </r>
  <r>
    <x v="27"/>
    <n v="24"/>
    <x v="1"/>
    <n v="51416"/>
    <n v="10"/>
    <n v="2"/>
    <n v="3"/>
    <n v="5"/>
    <s v="SQL"/>
    <x v="0"/>
  </r>
  <r>
    <x v="28"/>
    <n v="34"/>
    <x v="0"/>
    <n v="85724"/>
    <n v="9"/>
    <n v="3"/>
    <n v="2"/>
    <n v="9"/>
    <s v="Python"/>
    <x v="0"/>
  </r>
  <r>
    <x v="29"/>
    <n v="26"/>
    <x v="2"/>
    <n v="53915"/>
    <n v="10"/>
    <n v="2"/>
    <n v="4"/>
    <n v="5"/>
    <s v="MATLAB"/>
    <x v="0"/>
  </r>
  <r>
    <x v="30"/>
    <n v="31"/>
    <x v="2"/>
    <n v="59776"/>
    <n v="9"/>
    <n v="3"/>
    <n v="5"/>
    <n v="7"/>
    <s v="MATLAB"/>
    <x v="1"/>
  </r>
  <r>
    <x v="31"/>
    <n v="29"/>
    <x v="3"/>
    <n v="59444"/>
    <n v="7"/>
    <n v="5"/>
    <n v="4"/>
    <n v="7"/>
    <s v="CAD"/>
    <x v="1"/>
  </r>
  <r>
    <x v="32"/>
    <n v="22"/>
    <x v="3"/>
    <n v="27815"/>
    <n v="9"/>
    <n v="3"/>
    <n v="2"/>
    <n v="1"/>
    <s v="CAD"/>
    <x v="0"/>
  </r>
  <r>
    <x v="33"/>
    <n v="26"/>
    <x v="4"/>
    <n v="43957"/>
    <n v="9"/>
    <n v="3"/>
    <n v="5"/>
    <n v="10"/>
    <s v="Machine Learning"/>
    <x v="1"/>
  </r>
  <r>
    <x v="34"/>
    <n v="26"/>
    <x v="2"/>
    <n v="38987"/>
    <n v="9"/>
    <n v="3"/>
    <n v="4"/>
    <n v="8"/>
    <s v="MATLAB"/>
    <x v="0"/>
  </r>
  <r>
    <x v="35"/>
    <n v="22"/>
    <x v="2"/>
    <n v="86995"/>
    <n v="6"/>
    <n v="5"/>
    <n v="2"/>
    <n v="3"/>
    <s v="MATLAB"/>
    <x v="0"/>
  </r>
  <r>
    <x v="36"/>
    <n v="38"/>
    <x v="3"/>
    <n v="38614"/>
    <n v="6"/>
    <n v="5"/>
    <n v="5"/>
    <n v="8"/>
    <s v="CAD"/>
    <x v="0"/>
  </r>
  <r>
    <x v="37"/>
    <n v="32"/>
    <x v="1"/>
    <n v="79759"/>
    <n v="10"/>
    <n v="2"/>
    <n v="1"/>
    <n v="2"/>
    <s v="Power BI"/>
    <x v="0"/>
  </r>
  <r>
    <x v="38"/>
    <n v="35"/>
    <x v="1"/>
    <n v="76118"/>
    <n v="8"/>
    <n v="4"/>
    <n v="4"/>
    <n v="8"/>
    <s v="SQL"/>
    <x v="1"/>
  </r>
  <r>
    <x v="39"/>
    <n v="45"/>
    <x v="4"/>
    <n v="84171"/>
    <n v="6"/>
    <n v="5"/>
    <n v="1"/>
    <n v="6"/>
    <s v="Machine Learning"/>
    <x v="0"/>
  </r>
  <r>
    <x v="40"/>
    <n v="40"/>
    <x v="1"/>
    <n v="72991"/>
    <n v="10"/>
    <n v="2"/>
    <n v="3"/>
    <n v="5"/>
    <s v="Power BI"/>
    <x v="0"/>
  </r>
  <r>
    <x v="41"/>
    <n v="31"/>
    <x v="0"/>
    <n v="51665"/>
    <n v="7"/>
    <n v="5"/>
    <n v="5"/>
    <n v="2"/>
    <s v="Java"/>
    <x v="1"/>
  </r>
  <r>
    <x v="42"/>
    <n v="24"/>
    <x v="2"/>
    <n v="77730"/>
    <n v="7"/>
    <n v="5"/>
    <n v="1"/>
    <n v="1"/>
    <s v="MATLAB"/>
    <x v="0"/>
  </r>
  <r>
    <x v="43"/>
    <n v="40"/>
    <x v="1"/>
    <n v="75443"/>
    <n v="10"/>
    <n v="2"/>
    <n v="3"/>
    <n v="8"/>
    <s v="SQL"/>
    <x v="0"/>
  </r>
  <r>
    <x v="44"/>
    <n v="41"/>
    <x v="3"/>
    <n v="71000"/>
    <n v="8"/>
    <n v="4"/>
    <n v="2"/>
    <n v="2"/>
    <s v="CAD"/>
    <x v="0"/>
  </r>
  <r>
    <x v="45"/>
    <n v="34"/>
    <x v="1"/>
    <n v="34803"/>
    <n v="9"/>
    <n v="3"/>
    <n v="1"/>
    <n v="5"/>
    <s v="Power BI"/>
    <x v="0"/>
  </r>
  <r>
    <x v="46"/>
    <n v="38"/>
    <x v="4"/>
    <n v="85883"/>
    <n v="10"/>
    <n v="2"/>
    <n v="5"/>
    <n v="3"/>
    <s v="Machine Learning"/>
    <x v="0"/>
  </r>
  <r>
    <x v="47"/>
    <n v="27"/>
    <x v="2"/>
    <n v="52568"/>
    <n v="6"/>
    <n v="5"/>
    <n v="3"/>
    <n v="2"/>
    <s v="MATLAB"/>
    <x v="1"/>
  </r>
  <r>
    <x v="48"/>
    <n v="44"/>
    <x v="1"/>
    <n v="54205"/>
    <n v="8"/>
    <n v="4"/>
    <n v="3"/>
    <n v="0"/>
    <s v="Power BI"/>
    <x v="1"/>
  </r>
  <r>
    <x v="49"/>
    <n v="37"/>
    <x v="0"/>
    <n v="88803"/>
    <n v="9"/>
    <n v="3"/>
    <n v="3"/>
    <n v="3"/>
    <s v="Java"/>
    <x v="1"/>
  </r>
  <r>
    <x v="50"/>
    <n v="32"/>
    <x v="3"/>
    <n v="39840"/>
    <n v="9"/>
    <n v="3"/>
    <n v="2"/>
    <n v="2"/>
    <s v="CAD"/>
    <x v="0"/>
  </r>
  <r>
    <x v="51"/>
    <n v="38"/>
    <x v="3"/>
    <n v="50622"/>
    <n v="7"/>
    <n v="5"/>
    <n v="3"/>
    <n v="1"/>
    <s v="CAD"/>
    <x v="1"/>
  </r>
  <r>
    <x v="52"/>
    <n v="27"/>
    <x v="3"/>
    <n v="58380"/>
    <n v="7"/>
    <n v="5"/>
    <n v="2"/>
    <n v="8"/>
    <s v="CAD"/>
    <x v="0"/>
  </r>
  <r>
    <x v="53"/>
    <n v="26"/>
    <x v="3"/>
    <n v="34885"/>
    <n v="8"/>
    <n v="4"/>
    <n v="1"/>
    <n v="10"/>
    <s v="CAD"/>
    <x v="0"/>
  </r>
  <r>
    <x v="54"/>
    <n v="37"/>
    <x v="1"/>
    <n v="46602"/>
    <n v="7"/>
    <n v="5"/>
    <n v="4"/>
    <n v="0"/>
    <s v="Power BI"/>
    <x v="1"/>
  </r>
  <r>
    <x v="55"/>
    <n v="30"/>
    <x v="1"/>
    <n v="38258"/>
    <n v="10"/>
    <n v="2"/>
    <n v="1"/>
    <n v="8"/>
    <s v="SQL"/>
    <x v="0"/>
  </r>
  <r>
    <x v="56"/>
    <n v="29"/>
    <x v="2"/>
    <n v="65229"/>
    <n v="8"/>
    <n v="4"/>
    <n v="2"/>
    <n v="5"/>
    <s v="MATLAB"/>
    <x v="0"/>
  </r>
  <r>
    <x v="57"/>
    <n v="35"/>
    <x v="0"/>
    <n v="75422"/>
    <n v="8"/>
    <n v="4"/>
    <n v="1"/>
    <n v="5"/>
    <s v="Java"/>
    <x v="0"/>
  </r>
  <r>
    <x v="58"/>
    <n v="44"/>
    <x v="1"/>
    <n v="46736"/>
    <n v="9"/>
    <n v="3"/>
    <n v="2"/>
    <n v="8"/>
    <s v="SQL"/>
    <x v="0"/>
  </r>
  <r>
    <x v="59"/>
    <n v="30"/>
    <x v="1"/>
    <n v="54720"/>
    <n v="10"/>
    <n v="2"/>
    <n v="5"/>
    <n v="0"/>
    <s v="Power BI"/>
    <x v="0"/>
  </r>
  <r>
    <x v="60"/>
    <n v="36"/>
    <x v="0"/>
    <n v="74964"/>
    <n v="8"/>
    <n v="4"/>
    <n v="3"/>
    <n v="1"/>
    <s v="Python"/>
    <x v="1"/>
  </r>
  <r>
    <x v="61"/>
    <n v="45"/>
    <x v="1"/>
    <n v="83560"/>
    <n v="10"/>
    <n v="2"/>
    <n v="1"/>
    <n v="2"/>
    <s v="SQL"/>
    <x v="0"/>
  </r>
  <r>
    <x v="62"/>
    <n v="37"/>
    <x v="2"/>
    <n v="46373"/>
    <n v="10"/>
    <n v="2"/>
    <n v="4"/>
    <n v="4"/>
    <s v="MATLAB"/>
    <x v="0"/>
  </r>
  <r>
    <x v="63"/>
    <n v="34"/>
    <x v="1"/>
    <n v="50738"/>
    <n v="9"/>
    <n v="3"/>
    <n v="5"/>
    <n v="1"/>
    <s v="Power BI"/>
    <x v="1"/>
  </r>
  <r>
    <x v="64"/>
    <n v="29"/>
    <x v="3"/>
    <n v="30634"/>
    <n v="9"/>
    <n v="3"/>
    <n v="5"/>
    <n v="9"/>
    <s v="CAD"/>
    <x v="0"/>
  </r>
  <r>
    <x v="65"/>
    <n v="41"/>
    <x v="3"/>
    <n v="83732"/>
    <n v="6"/>
    <n v="5"/>
    <n v="4"/>
    <n v="6"/>
    <s v="CAD"/>
    <x v="1"/>
  </r>
  <r>
    <x v="66"/>
    <n v="37"/>
    <x v="1"/>
    <n v="79367"/>
    <n v="7"/>
    <n v="5"/>
    <n v="2"/>
    <n v="4"/>
    <s v="Power BI"/>
    <x v="0"/>
  </r>
  <r>
    <x v="67"/>
    <n v="32"/>
    <x v="3"/>
    <n v="73218"/>
    <n v="6"/>
    <n v="5"/>
    <n v="5"/>
    <n v="2"/>
    <s v="CAD"/>
    <x v="1"/>
  </r>
  <r>
    <x v="68"/>
    <n v="31"/>
    <x v="1"/>
    <n v="36153"/>
    <n v="9"/>
    <n v="3"/>
    <n v="4"/>
    <n v="7"/>
    <s v="SQL"/>
    <x v="0"/>
  </r>
  <r>
    <x v="69"/>
    <n v="23"/>
    <x v="3"/>
    <n v="88247"/>
    <n v="10"/>
    <n v="2"/>
    <n v="3"/>
    <n v="0"/>
    <s v="CAD"/>
    <x v="0"/>
  </r>
  <r>
    <x v="70"/>
    <n v="44"/>
    <x v="2"/>
    <n v="29588"/>
    <n v="10"/>
    <n v="2"/>
    <n v="2"/>
    <n v="7"/>
    <s v="MATLAB"/>
    <x v="0"/>
  </r>
  <r>
    <x v="71"/>
    <n v="38"/>
    <x v="2"/>
    <n v="35940"/>
    <n v="8"/>
    <n v="4"/>
    <n v="1"/>
    <n v="7"/>
    <s v="MATLAB"/>
    <x v="0"/>
  </r>
  <r>
    <x v="72"/>
    <n v="38"/>
    <x v="3"/>
    <n v="76264"/>
    <n v="6"/>
    <n v="5"/>
    <n v="2"/>
    <n v="1"/>
    <s v="CAD"/>
    <x v="0"/>
  </r>
  <r>
    <x v="73"/>
    <n v="37"/>
    <x v="0"/>
    <n v="57657"/>
    <n v="6"/>
    <n v="5"/>
    <n v="2"/>
    <n v="6"/>
    <s v="Python"/>
    <x v="0"/>
  </r>
  <r>
    <x v="74"/>
    <n v="39"/>
    <x v="4"/>
    <n v="50522"/>
    <n v="10"/>
    <n v="2"/>
    <n v="5"/>
    <n v="9"/>
    <s v="Machine Learning"/>
    <x v="0"/>
  </r>
  <r>
    <x v="75"/>
    <n v="38"/>
    <x v="0"/>
    <n v="25530"/>
    <n v="10"/>
    <n v="2"/>
    <n v="1"/>
    <n v="2"/>
    <s v="Python"/>
    <x v="0"/>
  </r>
  <r>
    <x v="76"/>
    <n v="45"/>
    <x v="4"/>
    <n v="35066"/>
    <n v="9"/>
    <n v="3"/>
    <n v="1"/>
    <n v="7"/>
    <s v="Machine Learning"/>
    <x v="0"/>
  </r>
  <r>
    <x v="77"/>
    <n v="45"/>
    <x v="2"/>
    <n v="47596"/>
    <n v="8"/>
    <n v="4"/>
    <n v="2"/>
    <n v="10"/>
    <s v="MATLAB"/>
    <x v="0"/>
  </r>
  <r>
    <x v="78"/>
    <n v="32"/>
    <x v="0"/>
    <n v="26418"/>
    <n v="6"/>
    <n v="5"/>
    <n v="4"/>
    <n v="5"/>
    <s v="Java"/>
    <x v="0"/>
  </r>
  <r>
    <x v="79"/>
    <n v="28"/>
    <x v="3"/>
    <n v="61491"/>
    <n v="8"/>
    <n v="4"/>
    <n v="4"/>
    <n v="2"/>
    <s v="CAD"/>
    <x v="1"/>
  </r>
  <r>
    <x v="80"/>
    <n v="41"/>
    <x v="0"/>
    <n v="44332"/>
    <n v="8"/>
    <n v="4"/>
    <n v="3"/>
    <n v="7"/>
    <s v="Java"/>
    <x v="1"/>
  </r>
  <r>
    <x v="81"/>
    <n v="32"/>
    <x v="0"/>
    <n v="76164"/>
    <n v="7"/>
    <n v="5"/>
    <n v="1"/>
    <n v="8"/>
    <s v="Java"/>
    <x v="0"/>
  </r>
  <r>
    <x v="82"/>
    <n v="45"/>
    <x v="1"/>
    <n v="29663"/>
    <n v="7"/>
    <n v="5"/>
    <n v="3"/>
    <n v="6"/>
    <s v="Power BI"/>
    <x v="0"/>
  </r>
  <r>
    <x v="83"/>
    <n v="37"/>
    <x v="4"/>
    <n v="56215"/>
    <n v="6"/>
    <n v="5"/>
    <n v="1"/>
    <n v="1"/>
    <s v="Python"/>
    <x v="0"/>
  </r>
  <r>
    <x v="84"/>
    <n v="41"/>
    <x v="3"/>
    <n v="74507"/>
    <n v="9"/>
    <n v="3"/>
    <n v="2"/>
    <n v="10"/>
    <s v="CAD"/>
    <x v="0"/>
  </r>
  <r>
    <x v="85"/>
    <n v="33"/>
    <x v="4"/>
    <n v="82805"/>
    <n v="6"/>
    <n v="5"/>
    <n v="3"/>
    <n v="2"/>
    <s v="Machine Learning"/>
    <x v="1"/>
  </r>
  <r>
    <x v="86"/>
    <n v="38"/>
    <x v="4"/>
    <n v="56130"/>
    <n v="7"/>
    <n v="5"/>
    <n v="1"/>
    <n v="3"/>
    <s v="Python"/>
    <x v="0"/>
  </r>
  <r>
    <x v="87"/>
    <n v="31"/>
    <x v="4"/>
    <n v="37148"/>
    <n v="10"/>
    <n v="2"/>
    <n v="4"/>
    <n v="8"/>
    <s v="Machine Learning"/>
    <x v="0"/>
  </r>
  <r>
    <x v="88"/>
    <n v="22"/>
    <x v="0"/>
    <n v="66270"/>
    <n v="8"/>
    <n v="4"/>
    <n v="1"/>
    <n v="10"/>
    <s v="Python"/>
    <x v="0"/>
  </r>
  <r>
    <x v="89"/>
    <n v="39"/>
    <x v="4"/>
    <n v="52522"/>
    <n v="8"/>
    <n v="4"/>
    <n v="1"/>
    <n v="9"/>
    <s v="Machine Learning"/>
    <x v="0"/>
  </r>
  <r>
    <x v="90"/>
    <n v="27"/>
    <x v="3"/>
    <n v="55983"/>
    <n v="8"/>
    <n v="4"/>
    <n v="4"/>
    <n v="7"/>
    <s v="CAD"/>
    <x v="1"/>
  </r>
  <r>
    <x v="91"/>
    <n v="32"/>
    <x v="1"/>
    <n v="40589"/>
    <n v="9"/>
    <n v="3"/>
    <n v="2"/>
    <n v="4"/>
    <s v="Power BI"/>
    <x v="0"/>
  </r>
  <r>
    <x v="92"/>
    <n v="41"/>
    <x v="4"/>
    <n v="56060"/>
    <n v="8"/>
    <n v="4"/>
    <n v="3"/>
    <n v="9"/>
    <s v="Machine Learning"/>
    <x v="1"/>
  </r>
  <r>
    <x v="93"/>
    <n v="27"/>
    <x v="3"/>
    <n v="60919"/>
    <n v="8"/>
    <n v="4"/>
    <n v="1"/>
    <n v="9"/>
    <s v="CAD"/>
    <x v="0"/>
  </r>
  <r>
    <x v="94"/>
    <n v="39"/>
    <x v="2"/>
    <n v="25039"/>
    <n v="7"/>
    <n v="5"/>
    <n v="5"/>
    <n v="7"/>
    <s v="MATLAB"/>
    <x v="0"/>
  </r>
  <r>
    <x v="95"/>
    <n v="22"/>
    <x v="0"/>
    <n v="41806"/>
    <n v="6"/>
    <n v="5"/>
    <n v="4"/>
    <n v="10"/>
    <s v="Java"/>
    <x v="1"/>
  </r>
  <r>
    <x v="96"/>
    <n v="29"/>
    <x v="4"/>
    <n v="42588"/>
    <n v="9"/>
    <n v="3"/>
    <n v="5"/>
    <n v="9"/>
    <s v="Python"/>
    <x v="1"/>
  </r>
  <r>
    <x v="97"/>
    <n v="27"/>
    <x v="0"/>
    <n v="48106"/>
    <n v="7"/>
    <n v="5"/>
    <n v="4"/>
    <n v="5"/>
    <s v="Java"/>
    <x v="1"/>
  </r>
  <r>
    <x v="98"/>
    <n v="45"/>
    <x v="3"/>
    <n v="54077"/>
    <n v="6"/>
    <n v="5"/>
    <n v="1"/>
    <n v="7"/>
    <s v="CAD"/>
    <x v="0"/>
  </r>
  <r>
    <x v="99"/>
    <n v="28"/>
    <x v="2"/>
    <n v="48467"/>
    <n v="7"/>
    <n v="5"/>
    <n v="2"/>
    <n v="6"/>
    <s v="MATLAB"/>
    <x v="0"/>
  </r>
  <r>
    <x v="100"/>
    <n v="44"/>
    <x v="4"/>
    <n v="72460"/>
    <n v="6"/>
    <n v="5"/>
    <n v="5"/>
    <n v="9"/>
    <s v="Machine Learning"/>
    <x v="1"/>
  </r>
  <r>
    <x v="101"/>
    <n v="29"/>
    <x v="0"/>
    <n v="27505"/>
    <n v="7"/>
    <n v="5"/>
    <n v="2"/>
    <n v="1"/>
    <s v="Java"/>
    <x v="0"/>
  </r>
  <r>
    <x v="102"/>
    <n v="40"/>
    <x v="2"/>
    <n v="33080"/>
    <n v="7"/>
    <n v="5"/>
    <n v="5"/>
    <n v="9"/>
    <s v="MATLAB"/>
    <x v="0"/>
  </r>
  <r>
    <x v="103"/>
    <n v="27"/>
    <x v="4"/>
    <n v="25870"/>
    <n v="9"/>
    <n v="3"/>
    <n v="1"/>
    <n v="3"/>
    <s v="Python"/>
    <x v="0"/>
  </r>
  <r>
    <x v="104"/>
    <n v="32"/>
    <x v="3"/>
    <n v="80343"/>
    <n v="9"/>
    <n v="3"/>
    <n v="1"/>
    <n v="9"/>
    <s v="CAD"/>
    <x v="0"/>
  </r>
  <r>
    <x v="105"/>
    <n v="26"/>
    <x v="2"/>
    <n v="86208"/>
    <n v="6"/>
    <n v="5"/>
    <n v="3"/>
    <n v="7"/>
    <s v="MATLAB"/>
    <x v="1"/>
  </r>
  <r>
    <x v="106"/>
    <n v="44"/>
    <x v="4"/>
    <n v="55106"/>
    <n v="8"/>
    <n v="4"/>
    <n v="4"/>
    <n v="7"/>
    <s v="Machine Learning"/>
    <x v="1"/>
  </r>
  <r>
    <x v="107"/>
    <n v="43"/>
    <x v="1"/>
    <n v="34228"/>
    <n v="10"/>
    <n v="2"/>
    <n v="1"/>
    <n v="2"/>
    <s v="Power BI"/>
    <x v="0"/>
  </r>
  <r>
    <x v="108"/>
    <n v="27"/>
    <x v="1"/>
    <n v="68044"/>
    <n v="7"/>
    <n v="5"/>
    <n v="1"/>
    <n v="6"/>
    <s v="Power BI"/>
    <x v="0"/>
  </r>
  <r>
    <x v="109"/>
    <n v="40"/>
    <x v="3"/>
    <n v="52790"/>
    <n v="8"/>
    <n v="4"/>
    <n v="5"/>
    <n v="3"/>
    <s v="CAD"/>
    <x v="1"/>
  </r>
  <r>
    <x v="110"/>
    <n v="45"/>
    <x v="4"/>
    <n v="53619"/>
    <n v="7"/>
    <n v="5"/>
    <n v="3"/>
    <n v="8"/>
    <s v="Python"/>
    <x v="1"/>
  </r>
  <r>
    <x v="111"/>
    <n v="25"/>
    <x v="1"/>
    <n v="89450"/>
    <n v="8"/>
    <n v="4"/>
    <n v="2"/>
    <n v="5"/>
    <s v="Power BI"/>
    <x v="0"/>
  </r>
  <r>
    <x v="112"/>
    <n v="32"/>
    <x v="3"/>
    <n v="63481"/>
    <n v="6"/>
    <n v="5"/>
    <n v="4"/>
    <n v="2"/>
    <s v="CAD"/>
    <x v="1"/>
  </r>
  <r>
    <x v="113"/>
    <n v="36"/>
    <x v="0"/>
    <n v="78238"/>
    <n v="9"/>
    <n v="3"/>
    <n v="2"/>
    <n v="7"/>
    <s v="Java"/>
    <x v="0"/>
  </r>
  <r>
    <x v="114"/>
    <n v="31"/>
    <x v="4"/>
    <n v="30938"/>
    <n v="10"/>
    <n v="2"/>
    <n v="4"/>
    <n v="6"/>
    <s v="Machine Learning"/>
    <x v="0"/>
  </r>
  <r>
    <x v="115"/>
    <n v="45"/>
    <x v="1"/>
    <n v="85628"/>
    <n v="7"/>
    <n v="5"/>
    <n v="2"/>
    <n v="1"/>
    <s v="Power BI"/>
    <x v="0"/>
  </r>
  <r>
    <x v="116"/>
    <n v="23"/>
    <x v="4"/>
    <n v="28110"/>
    <n v="10"/>
    <n v="2"/>
    <n v="4"/>
    <n v="7"/>
    <s v="Machine Learning"/>
    <x v="0"/>
  </r>
  <r>
    <x v="117"/>
    <n v="37"/>
    <x v="1"/>
    <n v="63368"/>
    <n v="10"/>
    <n v="2"/>
    <n v="5"/>
    <n v="1"/>
    <s v="Power BI"/>
    <x v="0"/>
  </r>
  <r>
    <x v="118"/>
    <n v="34"/>
    <x v="2"/>
    <n v="73365"/>
    <n v="9"/>
    <n v="3"/>
    <n v="5"/>
    <n v="3"/>
    <s v="MATLAB"/>
    <x v="1"/>
  </r>
  <r>
    <x v="119"/>
    <n v="42"/>
    <x v="2"/>
    <n v="51669"/>
    <n v="9"/>
    <n v="3"/>
    <n v="2"/>
    <n v="4"/>
    <s v="MATLAB"/>
    <x v="0"/>
  </r>
  <r>
    <x v="120"/>
    <n v="24"/>
    <x v="0"/>
    <n v="45739"/>
    <n v="7"/>
    <n v="5"/>
    <n v="2"/>
    <n v="8"/>
    <s v="Python"/>
    <x v="0"/>
  </r>
  <r>
    <x v="121"/>
    <n v="45"/>
    <x v="3"/>
    <n v="51372"/>
    <n v="6"/>
    <n v="5"/>
    <n v="4"/>
    <n v="5"/>
    <s v="CAD"/>
    <x v="1"/>
  </r>
  <r>
    <x v="122"/>
    <n v="38"/>
    <x v="1"/>
    <n v="50078"/>
    <n v="9"/>
    <n v="3"/>
    <n v="4"/>
    <n v="9"/>
    <s v="SQL"/>
    <x v="1"/>
  </r>
  <r>
    <x v="123"/>
    <n v="29"/>
    <x v="0"/>
    <n v="81982"/>
    <n v="8"/>
    <n v="4"/>
    <n v="1"/>
    <n v="3"/>
    <s v="Python"/>
    <x v="0"/>
  </r>
  <r>
    <x v="124"/>
    <n v="35"/>
    <x v="3"/>
    <n v="42162"/>
    <n v="6"/>
    <n v="5"/>
    <n v="5"/>
    <n v="1"/>
    <s v="CAD"/>
    <x v="1"/>
  </r>
  <r>
    <x v="125"/>
    <n v="32"/>
    <x v="1"/>
    <n v="38203"/>
    <n v="10"/>
    <n v="2"/>
    <n v="5"/>
    <n v="6"/>
    <s v="SQL"/>
    <x v="0"/>
  </r>
  <r>
    <x v="126"/>
    <n v="31"/>
    <x v="0"/>
    <n v="57830"/>
    <n v="10"/>
    <n v="2"/>
    <n v="3"/>
    <n v="5"/>
    <s v="Python"/>
    <x v="0"/>
  </r>
  <r>
    <x v="127"/>
    <n v="30"/>
    <x v="2"/>
    <n v="54937"/>
    <n v="8"/>
    <n v="4"/>
    <n v="1"/>
    <n v="6"/>
    <s v="MATLAB"/>
    <x v="0"/>
  </r>
  <r>
    <x v="128"/>
    <n v="31"/>
    <x v="0"/>
    <n v="35268"/>
    <n v="9"/>
    <n v="3"/>
    <n v="5"/>
    <n v="2"/>
    <s v="Python"/>
    <x v="0"/>
  </r>
  <r>
    <x v="129"/>
    <n v="40"/>
    <x v="2"/>
    <n v="66118"/>
    <n v="6"/>
    <n v="5"/>
    <n v="1"/>
    <n v="8"/>
    <s v="MATLAB"/>
    <x v="0"/>
  </r>
  <r>
    <x v="130"/>
    <n v="43"/>
    <x v="2"/>
    <n v="68753"/>
    <n v="8"/>
    <n v="4"/>
    <n v="1"/>
    <n v="7"/>
    <s v="MATLAB"/>
    <x v="0"/>
  </r>
  <r>
    <x v="131"/>
    <n v="26"/>
    <x v="1"/>
    <n v="46505"/>
    <n v="9"/>
    <n v="3"/>
    <n v="5"/>
    <n v="5"/>
    <s v="SQL"/>
    <x v="1"/>
  </r>
  <r>
    <x v="132"/>
    <n v="28"/>
    <x v="1"/>
    <n v="41389"/>
    <n v="9"/>
    <n v="3"/>
    <n v="5"/>
    <n v="8"/>
    <s v="SQL"/>
    <x v="1"/>
  </r>
  <r>
    <x v="133"/>
    <n v="45"/>
    <x v="1"/>
    <n v="70483"/>
    <n v="7"/>
    <n v="5"/>
    <n v="4"/>
    <n v="2"/>
    <s v="Power BI"/>
    <x v="1"/>
  </r>
  <r>
    <x v="134"/>
    <n v="40"/>
    <x v="0"/>
    <n v="52965"/>
    <n v="8"/>
    <n v="4"/>
    <n v="5"/>
    <n v="2"/>
    <s v="Python"/>
    <x v="1"/>
  </r>
  <r>
    <x v="135"/>
    <n v="42"/>
    <x v="4"/>
    <n v="73062"/>
    <n v="6"/>
    <n v="5"/>
    <n v="5"/>
    <n v="2"/>
    <s v="Machine Learning"/>
    <x v="1"/>
  </r>
  <r>
    <x v="136"/>
    <n v="39"/>
    <x v="0"/>
    <n v="49400"/>
    <n v="8"/>
    <n v="4"/>
    <n v="2"/>
    <n v="2"/>
    <s v="Python"/>
    <x v="0"/>
  </r>
  <r>
    <x v="137"/>
    <n v="39"/>
    <x v="4"/>
    <n v="36850"/>
    <n v="8"/>
    <n v="4"/>
    <n v="2"/>
    <n v="10"/>
    <s v="Machine Learning"/>
    <x v="0"/>
  </r>
  <r>
    <x v="138"/>
    <n v="35"/>
    <x v="4"/>
    <n v="38895"/>
    <n v="7"/>
    <n v="5"/>
    <n v="2"/>
    <n v="5"/>
    <s v="Machine Learning"/>
    <x v="0"/>
  </r>
  <r>
    <x v="139"/>
    <n v="23"/>
    <x v="2"/>
    <n v="77892"/>
    <n v="10"/>
    <n v="2"/>
    <n v="5"/>
    <n v="0"/>
    <s v="MATLAB"/>
    <x v="0"/>
  </r>
  <r>
    <x v="140"/>
    <n v="27"/>
    <x v="4"/>
    <n v="33841"/>
    <n v="9"/>
    <n v="3"/>
    <n v="5"/>
    <n v="4"/>
    <s v="Python"/>
    <x v="0"/>
  </r>
  <r>
    <x v="141"/>
    <n v="29"/>
    <x v="2"/>
    <n v="69092"/>
    <n v="6"/>
    <n v="5"/>
    <n v="1"/>
    <n v="2"/>
    <s v="MATLAB"/>
    <x v="0"/>
  </r>
  <r>
    <x v="142"/>
    <n v="36"/>
    <x v="3"/>
    <n v="59828"/>
    <n v="6"/>
    <n v="5"/>
    <n v="3"/>
    <n v="3"/>
    <s v="CAD"/>
    <x v="1"/>
  </r>
  <r>
    <x v="143"/>
    <n v="22"/>
    <x v="3"/>
    <n v="79841"/>
    <n v="7"/>
    <n v="5"/>
    <n v="5"/>
    <n v="2"/>
    <s v="CAD"/>
    <x v="1"/>
  </r>
  <r>
    <x v="144"/>
    <n v="44"/>
    <x v="0"/>
    <n v="35657"/>
    <n v="8"/>
    <n v="4"/>
    <n v="3"/>
    <n v="0"/>
    <s v="Python"/>
    <x v="0"/>
  </r>
  <r>
    <x v="145"/>
    <n v="33"/>
    <x v="4"/>
    <n v="81404"/>
    <n v="6"/>
    <n v="5"/>
    <n v="2"/>
    <n v="9"/>
    <s v="Python"/>
    <x v="0"/>
  </r>
  <r>
    <x v="146"/>
    <n v="39"/>
    <x v="3"/>
    <n v="33161"/>
    <n v="7"/>
    <n v="5"/>
    <n v="2"/>
    <n v="0"/>
    <s v="CAD"/>
    <x v="0"/>
  </r>
  <r>
    <x v="147"/>
    <n v="42"/>
    <x v="3"/>
    <n v="27547"/>
    <n v="6"/>
    <n v="5"/>
    <n v="5"/>
    <n v="10"/>
    <s v="CAD"/>
    <x v="0"/>
  </r>
  <r>
    <x v="148"/>
    <n v="41"/>
    <x v="3"/>
    <n v="87437"/>
    <n v="7"/>
    <n v="5"/>
    <n v="1"/>
    <n v="4"/>
    <s v="CAD"/>
    <x v="0"/>
  </r>
  <r>
    <x v="149"/>
    <n v="33"/>
    <x v="0"/>
    <n v="56616"/>
    <n v="8"/>
    <n v="4"/>
    <n v="2"/>
    <n v="10"/>
    <s v="Java"/>
    <x v="0"/>
  </r>
  <r>
    <x v="150"/>
    <n v="42"/>
    <x v="0"/>
    <n v="88070"/>
    <n v="6"/>
    <n v="5"/>
    <n v="5"/>
    <n v="6"/>
    <s v="Python"/>
    <x v="1"/>
  </r>
  <r>
    <x v="151"/>
    <n v="35"/>
    <x v="1"/>
    <n v="88841"/>
    <n v="10"/>
    <n v="2"/>
    <n v="3"/>
    <n v="10"/>
    <s v="Power BI"/>
    <x v="0"/>
  </r>
  <r>
    <x v="152"/>
    <n v="26"/>
    <x v="2"/>
    <n v="63986"/>
    <n v="7"/>
    <n v="5"/>
    <n v="2"/>
    <n v="9"/>
    <s v="MATLAB"/>
    <x v="0"/>
  </r>
  <r>
    <x v="153"/>
    <n v="23"/>
    <x v="3"/>
    <n v="40821"/>
    <n v="9"/>
    <n v="3"/>
    <n v="1"/>
    <n v="10"/>
    <s v="CAD"/>
    <x v="0"/>
  </r>
  <r>
    <x v="154"/>
    <n v="29"/>
    <x v="2"/>
    <n v="41807"/>
    <n v="8"/>
    <n v="4"/>
    <n v="2"/>
    <n v="0"/>
    <s v="MATLAB"/>
    <x v="0"/>
  </r>
  <r>
    <x v="155"/>
    <n v="35"/>
    <x v="3"/>
    <n v="58532"/>
    <n v="10"/>
    <n v="2"/>
    <n v="1"/>
    <n v="8"/>
    <s v="CAD"/>
    <x v="0"/>
  </r>
  <r>
    <x v="156"/>
    <n v="31"/>
    <x v="2"/>
    <n v="55594"/>
    <n v="6"/>
    <n v="5"/>
    <n v="5"/>
    <n v="2"/>
    <s v="MATLAB"/>
    <x v="1"/>
  </r>
  <r>
    <x v="157"/>
    <n v="26"/>
    <x v="2"/>
    <n v="63976"/>
    <n v="10"/>
    <n v="2"/>
    <n v="2"/>
    <n v="10"/>
    <s v="MATLAB"/>
    <x v="0"/>
  </r>
  <r>
    <x v="158"/>
    <n v="26"/>
    <x v="4"/>
    <n v="68121"/>
    <n v="10"/>
    <n v="2"/>
    <n v="1"/>
    <n v="6"/>
    <s v="Machine Learning"/>
    <x v="0"/>
  </r>
  <r>
    <x v="159"/>
    <n v="32"/>
    <x v="3"/>
    <n v="43916"/>
    <n v="6"/>
    <n v="5"/>
    <n v="1"/>
    <n v="10"/>
    <s v="CAD"/>
    <x v="0"/>
  </r>
  <r>
    <x v="160"/>
    <n v="35"/>
    <x v="0"/>
    <n v="54121"/>
    <n v="10"/>
    <n v="2"/>
    <n v="3"/>
    <n v="9"/>
    <s v="Python"/>
    <x v="0"/>
  </r>
  <r>
    <x v="161"/>
    <n v="25"/>
    <x v="4"/>
    <n v="49383"/>
    <n v="9"/>
    <n v="3"/>
    <n v="3"/>
    <n v="7"/>
    <s v="Python"/>
    <x v="1"/>
  </r>
  <r>
    <x v="162"/>
    <n v="22"/>
    <x v="0"/>
    <n v="45772"/>
    <n v="10"/>
    <n v="2"/>
    <n v="1"/>
    <n v="1"/>
    <s v="Python"/>
    <x v="0"/>
  </r>
  <r>
    <x v="163"/>
    <n v="42"/>
    <x v="1"/>
    <n v="88247"/>
    <n v="10"/>
    <n v="2"/>
    <n v="3"/>
    <n v="4"/>
    <s v="Power BI"/>
    <x v="0"/>
  </r>
  <r>
    <x v="164"/>
    <n v="30"/>
    <x v="1"/>
    <n v="57847"/>
    <n v="8"/>
    <n v="4"/>
    <n v="4"/>
    <n v="8"/>
    <s v="Power BI"/>
    <x v="1"/>
  </r>
  <r>
    <x v="165"/>
    <n v="40"/>
    <x v="1"/>
    <n v="84706"/>
    <n v="7"/>
    <n v="5"/>
    <n v="5"/>
    <n v="9"/>
    <s v="SQL"/>
    <x v="1"/>
  </r>
  <r>
    <x v="166"/>
    <n v="25"/>
    <x v="3"/>
    <n v="28960"/>
    <n v="9"/>
    <n v="3"/>
    <n v="2"/>
    <n v="9"/>
    <s v="CAD"/>
    <x v="0"/>
  </r>
  <r>
    <x v="167"/>
    <n v="30"/>
    <x v="3"/>
    <n v="57449"/>
    <n v="10"/>
    <n v="2"/>
    <n v="5"/>
    <n v="3"/>
    <s v="CAD"/>
    <x v="0"/>
  </r>
  <r>
    <x v="168"/>
    <n v="43"/>
    <x v="3"/>
    <n v="32921"/>
    <n v="7"/>
    <n v="5"/>
    <n v="3"/>
    <n v="4"/>
    <s v="CAD"/>
    <x v="0"/>
  </r>
  <r>
    <x v="169"/>
    <n v="36"/>
    <x v="4"/>
    <n v="81772"/>
    <n v="9"/>
    <n v="3"/>
    <n v="4"/>
    <n v="9"/>
    <s v="Machine Learning"/>
    <x v="1"/>
  </r>
  <r>
    <x v="170"/>
    <n v="45"/>
    <x v="3"/>
    <n v="87836"/>
    <n v="9"/>
    <n v="3"/>
    <n v="5"/>
    <n v="10"/>
    <s v="CAD"/>
    <x v="1"/>
  </r>
  <r>
    <x v="171"/>
    <n v="43"/>
    <x v="4"/>
    <n v="66554"/>
    <n v="10"/>
    <n v="2"/>
    <n v="2"/>
    <n v="7"/>
    <s v="Machine Learning"/>
    <x v="0"/>
  </r>
  <r>
    <x v="172"/>
    <n v="28"/>
    <x v="3"/>
    <n v="79582"/>
    <n v="6"/>
    <n v="5"/>
    <n v="3"/>
    <n v="0"/>
    <s v="CAD"/>
    <x v="1"/>
  </r>
  <r>
    <x v="173"/>
    <n v="44"/>
    <x v="1"/>
    <n v="73689"/>
    <n v="7"/>
    <n v="5"/>
    <n v="5"/>
    <n v="4"/>
    <s v="Power BI"/>
    <x v="1"/>
  </r>
  <r>
    <x v="174"/>
    <n v="39"/>
    <x v="2"/>
    <n v="89860"/>
    <n v="10"/>
    <n v="2"/>
    <n v="2"/>
    <n v="5"/>
    <s v="MATLAB"/>
    <x v="0"/>
  </r>
  <r>
    <x v="175"/>
    <n v="23"/>
    <x v="4"/>
    <n v="87108"/>
    <n v="7"/>
    <n v="5"/>
    <n v="3"/>
    <n v="2"/>
    <s v="Python"/>
    <x v="1"/>
  </r>
  <r>
    <x v="176"/>
    <n v="23"/>
    <x v="3"/>
    <n v="89427"/>
    <n v="9"/>
    <n v="3"/>
    <n v="4"/>
    <n v="8"/>
    <s v="CAD"/>
    <x v="1"/>
  </r>
  <r>
    <x v="177"/>
    <n v="36"/>
    <x v="2"/>
    <n v="76804"/>
    <n v="8"/>
    <n v="4"/>
    <n v="3"/>
    <n v="1"/>
    <s v="MATLAB"/>
    <x v="1"/>
  </r>
  <r>
    <x v="178"/>
    <n v="31"/>
    <x v="1"/>
    <n v="26958"/>
    <n v="9"/>
    <n v="3"/>
    <n v="1"/>
    <n v="6"/>
    <s v="SQL"/>
    <x v="0"/>
  </r>
  <r>
    <x v="179"/>
    <n v="30"/>
    <x v="4"/>
    <n v="36476"/>
    <n v="10"/>
    <n v="2"/>
    <n v="4"/>
    <n v="6"/>
    <s v="Python"/>
    <x v="0"/>
  </r>
  <r>
    <x v="180"/>
    <n v="44"/>
    <x v="2"/>
    <n v="45357"/>
    <n v="7"/>
    <n v="5"/>
    <n v="2"/>
    <n v="2"/>
    <s v="MATLAB"/>
    <x v="0"/>
  </r>
  <r>
    <x v="181"/>
    <n v="28"/>
    <x v="2"/>
    <n v="35787"/>
    <n v="6"/>
    <n v="5"/>
    <n v="3"/>
    <n v="5"/>
    <s v="MATLAB"/>
    <x v="0"/>
  </r>
  <r>
    <x v="182"/>
    <n v="22"/>
    <x v="1"/>
    <n v="69469"/>
    <n v="8"/>
    <n v="4"/>
    <n v="5"/>
    <n v="8"/>
    <s v="SQL"/>
    <x v="1"/>
  </r>
  <r>
    <x v="183"/>
    <n v="43"/>
    <x v="0"/>
    <n v="62148"/>
    <n v="8"/>
    <n v="4"/>
    <n v="1"/>
    <n v="7"/>
    <s v="Java"/>
    <x v="0"/>
  </r>
  <r>
    <x v="184"/>
    <n v="28"/>
    <x v="1"/>
    <n v="81256"/>
    <n v="9"/>
    <n v="3"/>
    <n v="1"/>
    <n v="6"/>
    <s v="Power BI"/>
    <x v="0"/>
  </r>
  <r>
    <x v="185"/>
    <n v="36"/>
    <x v="3"/>
    <n v="37699"/>
    <n v="7"/>
    <n v="5"/>
    <n v="4"/>
    <n v="0"/>
    <s v="CAD"/>
    <x v="0"/>
  </r>
  <r>
    <x v="186"/>
    <n v="43"/>
    <x v="1"/>
    <n v="62152"/>
    <n v="8"/>
    <n v="4"/>
    <n v="1"/>
    <n v="1"/>
    <s v="Power BI"/>
    <x v="0"/>
  </r>
  <r>
    <x v="187"/>
    <n v="40"/>
    <x v="3"/>
    <n v="81393"/>
    <n v="9"/>
    <n v="3"/>
    <n v="5"/>
    <n v="2"/>
    <s v="CAD"/>
    <x v="1"/>
  </r>
  <r>
    <x v="188"/>
    <n v="35"/>
    <x v="3"/>
    <n v="50900"/>
    <n v="10"/>
    <n v="2"/>
    <n v="4"/>
    <n v="1"/>
    <s v="CAD"/>
    <x v="0"/>
  </r>
  <r>
    <x v="189"/>
    <n v="45"/>
    <x v="2"/>
    <n v="29085"/>
    <n v="7"/>
    <n v="5"/>
    <n v="4"/>
    <n v="10"/>
    <s v="MATLAB"/>
    <x v="0"/>
  </r>
  <r>
    <x v="190"/>
    <n v="25"/>
    <x v="0"/>
    <n v="31110"/>
    <n v="8"/>
    <n v="4"/>
    <n v="2"/>
    <n v="2"/>
    <s v="Python"/>
    <x v="0"/>
  </r>
  <r>
    <x v="191"/>
    <n v="32"/>
    <x v="1"/>
    <n v="69841"/>
    <n v="10"/>
    <n v="2"/>
    <n v="5"/>
    <n v="4"/>
    <s v="Power BI"/>
    <x v="0"/>
  </r>
  <r>
    <x v="192"/>
    <n v="23"/>
    <x v="1"/>
    <n v="31957"/>
    <n v="6"/>
    <n v="5"/>
    <n v="5"/>
    <n v="6"/>
    <s v="SQL"/>
    <x v="0"/>
  </r>
  <r>
    <x v="193"/>
    <n v="37"/>
    <x v="2"/>
    <n v="26039"/>
    <n v="6"/>
    <n v="5"/>
    <n v="1"/>
    <n v="0"/>
    <s v="MATLAB"/>
    <x v="0"/>
  </r>
  <r>
    <x v="194"/>
    <n v="45"/>
    <x v="2"/>
    <n v="60520"/>
    <n v="9"/>
    <n v="3"/>
    <n v="4"/>
    <n v="4"/>
    <s v="MATLAB"/>
    <x v="1"/>
  </r>
  <r>
    <x v="195"/>
    <n v="40"/>
    <x v="4"/>
    <n v="38226"/>
    <n v="6"/>
    <n v="5"/>
    <n v="1"/>
    <n v="1"/>
    <s v="Machine Learning"/>
    <x v="0"/>
  </r>
  <r>
    <x v="196"/>
    <n v="22"/>
    <x v="1"/>
    <n v="86460"/>
    <n v="7"/>
    <n v="5"/>
    <n v="5"/>
    <n v="7"/>
    <s v="Power BI"/>
    <x v="1"/>
  </r>
  <r>
    <x v="197"/>
    <n v="29"/>
    <x v="1"/>
    <n v="31257"/>
    <n v="8"/>
    <n v="4"/>
    <n v="2"/>
    <n v="4"/>
    <s v="SQL"/>
    <x v="0"/>
  </r>
  <r>
    <x v="198"/>
    <n v="41"/>
    <x v="4"/>
    <n v="64638"/>
    <n v="7"/>
    <n v="5"/>
    <n v="1"/>
    <n v="10"/>
    <s v="Machine Learning"/>
    <x v="0"/>
  </r>
  <r>
    <x v="199"/>
    <n v="23"/>
    <x v="1"/>
    <n v="57459"/>
    <n v="10"/>
    <n v="2"/>
    <n v="5"/>
    <n v="10"/>
    <s v="Power BI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Software Engineer"/>
    <x v="0"/>
    <x v="0"/>
    <n v="42751"/>
    <s v="Low"/>
  </r>
  <r>
    <s v="Electrical Engineer"/>
    <x v="1"/>
    <x v="1"/>
    <n v="68534"/>
    <s v="Medium"/>
  </r>
  <r>
    <s v="Data Analyst"/>
    <x v="1"/>
    <x v="2"/>
    <n v="96151"/>
    <s v="Low"/>
  </r>
  <r>
    <s v="Software Engineer"/>
    <x v="1"/>
    <x v="1"/>
    <n v="75073"/>
    <s v="Low"/>
  </r>
  <r>
    <s v="Electrical Engineer"/>
    <x v="0"/>
    <x v="3"/>
    <n v="57898"/>
    <s v="Medium"/>
  </r>
  <r>
    <s v="Mechanical Engineer"/>
    <x v="1"/>
    <x v="4"/>
    <n v="82927"/>
    <s v="Medium"/>
  </r>
  <r>
    <s v="Software Engineer"/>
    <x v="1"/>
    <x v="3"/>
    <n v="63447"/>
    <s v="Low"/>
  </r>
  <r>
    <s v="ML Engineer"/>
    <x v="2"/>
    <x v="1"/>
    <n v="44395"/>
    <s v="Low"/>
  </r>
  <r>
    <s v="Electrical Engineer"/>
    <x v="2"/>
    <x v="0"/>
    <n v="63532"/>
    <s v="Medium"/>
  </r>
  <r>
    <s v="Software Engineer"/>
    <x v="3"/>
    <x v="1"/>
    <n v="35633"/>
    <s v="Low"/>
  </r>
  <r>
    <s v="Mechanical Engineer"/>
    <x v="3"/>
    <x v="3"/>
    <n v="41608"/>
    <s v="Medium"/>
  </r>
  <r>
    <s v="ML Engineer"/>
    <x v="1"/>
    <x v="0"/>
    <n v="60259"/>
    <s v="Low"/>
  </r>
  <r>
    <s v="Mechanical Engineer"/>
    <x v="3"/>
    <x v="5"/>
    <n v="43719"/>
    <s v="Medium"/>
  </r>
  <r>
    <s v="Data Analyst"/>
    <x v="4"/>
    <x v="5"/>
    <n v="48706"/>
    <s v="Low"/>
  </r>
  <r>
    <s v="Software Engineer"/>
    <x v="1"/>
    <x v="5"/>
    <n v="93506"/>
    <s v="Low"/>
  </r>
  <r>
    <s v="Electrical Engineer"/>
    <x v="3"/>
    <x v="0"/>
    <n v="45793"/>
    <s v="Medium"/>
  </r>
  <r>
    <s v="ML Engineer"/>
    <x v="0"/>
    <x v="5"/>
    <n v="47042"/>
    <s v="Low"/>
  </r>
  <r>
    <s v="Electrical Engineer"/>
    <x v="4"/>
    <x v="4"/>
    <n v="52699"/>
    <s v="Medium"/>
  </r>
  <r>
    <s v="Software Engineer"/>
    <x v="4"/>
    <x v="1"/>
    <n v="40987"/>
    <s v="Low"/>
  </r>
  <r>
    <s v="Data Analyst"/>
    <x v="4"/>
    <x v="5"/>
    <n v="69183"/>
    <s v="Low"/>
  </r>
  <r>
    <s v="Software Engineer"/>
    <x v="4"/>
    <x v="3"/>
    <n v="33190"/>
    <s v="Low"/>
  </r>
  <r>
    <s v="Data Analyst"/>
    <x v="3"/>
    <x v="0"/>
    <n v="44911"/>
    <s v="Low"/>
  </r>
  <r>
    <s v="ML Engineer"/>
    <x v="0"/>
    <x v="1"/>
    <n v="31031"/>
    <s v="Low"/>
  </r>
  <r>
    <s v="Software Engineer"/>
    <x v="1"/>
    <x v="4"/>
    <n v="78557"/>
    <s v="Low"/>
  </r>
  <r>
    <s v="ML Engineer"/>
    <x v="1"/>
    <x v="4"/>
    <n v="78834"/>
    <s v="Low"/>
  </r>
  <r>
    <s v="Mechanical Engineer"/>
    <x v="2"/>
    <x v="2"/>
    <n v="66092"/>
    <s v="Medium"/>
  </r>
  <r>
    <s v="Electrical Engineer"/>
    <x v="1"/>
    <x v="1"/>
    <n v="87286"/>
    <s v="Medium"/>
  </r>
  <r>
    <s v="Mechanical Engineer"/>
    <x v="4"/>
    <x v="1"/>
    <n v="52575"/>
    <s v="Medium"/>
  </r>
  <r>
    <s v="Electrical Engineer"/>
    <x v="1"/>
    <x v="1"/>
    <n v="81676"/>
    <s v="Medium"/>
  </r>
  <r>
    <s v="Data Analyst"/>
    <x v="0"/>
    <x v="3"/>
    <n v="56891"/>
    <s v="Low"/>
  </r>
  <r>
    <s v="Mechanical Engineer"/>
    <x v="3"/>
    <x v="2"/>
    <n v="38101"/>
    <s v="Medium"/>
  </r>
  <r>
    <s v="Electrical Engineer"/>
    <x v="2"/>
    <x v="1"/>
    <n v="72565"/>
    <s v="Medium"/>
  </r>
  <r>
    <s v="Electrical Engineer"/>
    <x v="1"/>
    <x v="3"/>
    <n v="65191"/>
    <s v="Medium"/>
  </r>
  <r>
    <s v="Mechanical Engineer"/>
    <x v="0"/>
    <x v="1"/>
    <n v="67041"/>
    <s v="Medium"/>
  </r>
  <r>
    <s v="Data Analyst"/>
    <x v="0"/>
    <x v="2"/>
    <n v="43283"/>
    <s v="Low"/>
  </r>
  <r>
    <s v="Data Analyst"/>
    <x v="1"/>
    <x v="2"/>
    <n v="70199"/>
    <s v="Low"/>
  </r>
  <r>
    <s v="ML Engineer"/>
    <x v="1"/>
    <x v="0"/>
    <n v="73042"/>
    <s v="Low"/>
  </r>
  <r>
    <s v="Electrical Engineer"/>
    <x v="2"/>
    <x v="0"/>
    <n v="55523"/>
    <s v="Medium"/>
  </r>
  <r>
    <s v="Mechanical Engineer"/>
    <x v="4"/>
    <x v="5"/>
    <n v="48384"/>
    <s v="Medium"/>
  </r>
  <r>
    <s v="Electrical Engineer"/>
    <x v="3"/>
    <x v="0"/>
    <n v="36664"/>
    <s v="Medium"/>
  </r>
  <r>
    <s v="ML Engineer"/>
    <x v="2"/>
    <x v="1"/>
    <n v="45689"/>
    <s v="Low"/>
  </r>
  <r>
    <s v="Data Analyst"/>
    <x v="4"/>
    <x v="4"/>
    <n v="40061"/>
    <s v="Low"/>
  </r>
  <r>
    <s v="Data Analyst"/>
    <x v="4"/>
    <x v="5"/>
    <n v="47953"/>
    <s v="Low"/>
  </r>
  <r>
    <s v="Software Engineer"/>
    <x v="4"/>
    <x v="1"/>
    <n v="47404"/>
    <s v="Low"/>
  </r>
  <r>
    <s v="ML Engineer"/>
    <x v="2"/>
    <x v="4"/>
    <n v="60562"/>
    <s v="Low"/>
  </r>
  <r>
    <s v="Electrical Engineer"/>
    <x v="3"/>
    <x v="4"/>
    <n v="43124"/>
    <s v="Medium"/>
  </r>
  <r>
    <s v="Data Analyst"/>
    <x v="3"/>
    <x v="2"/>
    <n v="59536"/>
    <s v="Low"/>
  </r>
  <r>
    <s v="ML Engineer"/>
    <x v="2"/>
    <x v="2"/>
    <n v="51302"/>
    <s v="Low"/>
  </r>
  <r>
    <s v="Software Engineer"/>
    <x v="1"/>
    <x v="1"/>
    <n v="66501"/>
    <s v="Low"/>
  </r>
  <r>
    <s v="ML Engineer"/>
    <x v="4"/>
    <x v="1"/>
    <n v="44087"/>
    <s v="Low"/>
  </r>
  <r>
    <s v="Software Engineer"/>
    <x v="1"/>
    <x v="5"/>
    <n v="94532"/>
    <s v="Low"/>
  </r>
  <r>
    <s v="Electrical Engineer"/>
    <x v="4"/>
    <x v="0"/>
    <n v="66748"/>
    <s v="Medium"/>
  </r>
  <r>
    <s v="Electrical Engineer"/>
    <x v="2"/>
    <x v="2"/>
    <n v="50110"/>
    <s v="Medium"/>
  </r>
  <r>
    <s v="Data Analyst"/>
    <x v="3"/>
    <x v="4"/>
    <n v="56720"/>
    <s v="Low"/>
  </r>
  <r>
    <s v="Electrical Engineer"/>
    <x v="3"/>
    <x v="5"/>
    <n v="46646"/>
    <s v="Medium"/>
  </r>
  <r>
    <s v="Electrical Engineer"/>
    <x v="1"/>
    <x v="4"/>
    <n v="86944"/>
    <s v="Medium"/>
  </r>
  <r>
    <s v="Electrical Engineer"/>
    <x v="0"/>
    <x v="0"/>
    <n v="55955"/>
    <s v="Medium"/>
  </r>
  <r>
    <s v="Data Analyst"/>
    <x v="3"/>
    <x v="4"/>
    <n v="47469"/>
    <s v="Low"/>
  </r>
  <r>
    <s v="Software Engineer"/>
    <x v="1"/>
    <x v="5"/>
    <n v="99821"/>
    <s v="Low"/>
  </r>
  <r>
    <s v="Data Analyst"/>
    <x v="2"/>
    <x v="4"/>
    <n v="66198"/>
    <s v="Low"/>
  </r>
  <r>
    <s v="ML Engineer"/>
    <x v="4"/>
    <x v="1"/>
    <n v="35587"/>
    <s v="Low"/>
  </r>
  <r>
    <s v="ML Engineer"/>
    <x v="1"/>
    <x v="1"/>
    <n v="89276"/>
    <s v="Low"/>
  </r>
  <r>
    <s v="Software Engineer"/>
    <x v="4"/>
    <x v="0"/>
    <n v="57444"/>
    <s v="Low"/>
  </r>
  <r>
    <s v="ML Engineer"/>
    <x v="4"/>
    <x v="1"/>
    <n v="31181"/>
    <s v="Low"/>
  </r>
  <r>
    <s v="Software Engineer"/>
    <x v="2"/>
    <x v="0"/>
    <n v="74806"/>
    <s v="Low"/>
  </r>
  <r>
    <s v="Software Engineer"/>
    <x v="3"/>
    <x v="4"/>
    <n v="36547"/>
    <s v="Low"/>
  </r>
  <r>
    <s v="Electrical Engineer"/>
    <x v="1"/>
    <x v="3"/>
    <n v="87107"/>
    <s v="Medium"/>
  </r>
  <r>
    <s v="Electrical Engineer"/>
    <x v="3"/>
    <x v="2"/>
    <n v="52741"/>
    <s v="Medium"/>
  </r>
  <r>
    <s v="ML Engineer"/>
    <x v="0"/>
    <x v="0"/>
    <n v="40424"/>
    <s v="Low"/>
  </r>
  <r>
    <s v="Mechanical Engineer"/>
    <x v="1"/>
    <x v="1"/>
    <n v="85030"/>
    <s v="Medium"/>
  </r>
  <r>
    <s v="Data Analyst"/>
    <x v="3"/>
    <x v="2"/>
    <n v="32985"/>
    <s v="Low"/>
  </r>
  <r>
    <s v="ML Engineer"/>
    <x v="3"/>
    <x v="5"/>
    <n v="52666"/>
    <s v="Low"/>
  </r>
  <r>
    <s v="ML Engineer"/>
    <x v="1"/>
    <x v="2"/>
    <n v="84115"/>
    <s v="Low"/>
  </r>
  <r>
    <s v="Data Analyst"/>
    <x v="4"/>
    <x v="4"/>
    <n v="41610"/>
    <s v="Low"/>
  </r>
  <r>
    <s v="Software Engineer"/>
    <x v="3"/>
    <x v="0"/>
    <n v="67783"/>
    <s v="Low"/>
  </r>
  <r>
    <s v="ML Engineer"/>
    <x v="3"/>
    <x v="0"/>
    <n v="53684"/>
    <s v="Low"/>
  </r>
  <r>
    <s v="Data Analyst"/>
    <x v="4"/>
    <x v="5"/>
    <n v="33436"/>
    <s v="Low"/>
  </r>
  <r>
    <s v="Software Engineer"/>
    <x v="0"/>
    <x v="1"/>
    <n v="51705"/>
    <s v="Low"/>
  </r>
  <r>
    <s v="ML Engineer"/>
    <x v="1"/>
    <x v="1"/>
    <n v="69640"/>
    <s v="Low"/>
  </r>
  <r>
    <s v="ML Engineer"/>
    <x v="0"/>
    <x v="1"/>
    <n v="39166"/>
    <s v="Low"/>
  </r>
  <r>
    <s v="Software Engineer"/>
    <x v="2"/>
    <x v="3"/>
    <n v="63945"/>
    <s v="Low"/>
  </r>
  <r>
    <s v="Software Engineer"/>
    <x v="1"/>
    <x v="5"/>
    <n v="83753"/>
    <s v="Low"/>
  </r>
  <r>
    <s v="Data Analyst"/>
    <x v="0"/>
    <x v="5"/>
    <n v="40227"/>
    <s v="Low"/>
  </r>
  <r>
    <s v="Software Engineer"/>
    <x v="2"/>
    <x v="2"/>
    <n v="42447"/>
    <s v="Low"/>
  </r>
  <r>
    <s v="Electrical Engineer"/>
    <x v="3"/>
    <x v="4"/>
    <n v="44008"/>
    <s v="Medium"/>
  </r>
  <r>
    <s v="Mechanical Engineer"/>
    <x v="1"/>
    <x v="2"/>
    <n v="66344"/>
    <s v="Medium"/>
  </r>
  <r>
    <s v="Mechanical Engineer"/>
    <x v="3"/>
    <x v="3"/>
    <n v="32949"/>
    <s v="Medium"/>
  </r>
  <r>
    <s v="Electrical Engineer"/>
    <x v="0"/>
    <x v="3"/>
    <n v="45153"/>
    <s v="Medium"/>
  </r>
  <r>
    <s v="ML Engineer"/>
    <x v="4"/>
    <x v="4"/>
    <n v="68359"/>
    <s v="Low"/>
  </r>
  <r>
    <s v="ML Engineer"/>
    <x v="0"/>
    <x v="5"/>
    <n v="47633"/>
    <s v="Low"/>
  </r>
  <r>
    <s v="Electrical Engineer"/>
    <x v="4"/>
    <x v="1"/>
    <n v="47322"/>
    <s v="Medium"/>
  </r>
  <r>
    <s v="Mechanical Engineer"/>
    <x v="2"/>
    <x v="3"/>
    <n v="69159"/>
    <s v="Medium"/>
  </r>
  <r>
    <s v="Data Analyst"/>
    <x v="4"/>
    <x v="5"/>
    <n v="58126"/>
    <s v="Low"/>
  </r>
  <r>
    <s v="Software Engineer"/>
    <x v="0"/>
    <x v="1"/>
    <n v="52008"/>
    <s v="Low"/>
  </r>
  <r>
    <s v="Software Engineer"/>
    <x v="2"/>
    <x v="4"/>
    <n v="77889"/>
    <s v="Low"/>
  </r>
  <r>
    <s v="Electrical Engineer"/>
    <x v="3"/>
    <x v="5"/>
    <n v="64492"/>
    <s v="Medium"/>
  </r>
  <r>
    <s v="Electrical Engineer"/>
    <x v="2"/>
    <x v="5"/>
    <n v="73703"/>
    <s v="Medium"/>
  </r>
  <r>
    <s v="Mechanical Engineer"/>
    <x v="1"/>
    <x v="0"/>
    <n v="72844"/>
    <s v="Medium"/>
  </r>
  <r>
    <s v="Software Engineer"/>
    <x v="1"/>
    <x v="5"/>
    <n v="62132"/>
    <s v="Low"/>
  </r>
  <r>
    <s v="Data Analyst"/>
    <x v="2"/>
    <x v="2"/>
    <n v="55407"/>
    <s v="Low"/>
  </r>
  <r>
    <s v="ML Engineer"/>
    <x v="0"/>
    <x v="0"/>
    <n v="62569"/>
    <s v="Low"/>
  </r>
  <r>
    <s v="Mechanical Engineer"/>
    <x v="3"/>
    <x v="1"/>
    <n v="43145"/>
    <s v="Medium"/>
  </r>
  <r>
    <s v="Mechanical Engineer"/>
    <x v="4"/>
    <x v="5"/>
    <n v="44551"/>
    <s v="Medium"/>
  </r>
  <r>
    <s v="Mechanical Engineer"/>
    <x v="1"/>
    <x v="1"/>
    <n v="82022"/>
    <s v="Medium"/>
  </r>
  <r>
    <s v="Mechanical Engineer"/>
    <x v="4"/>
    <x v="1"/>
    <n v="66503"/>
    <s v="Medium"/>
  </r>
  <r>
    <s v="Mechanical Engineer"/>
    <x v="3"/>
    <x v="4"/>
    <n v="39927"/>
    <s v="Medium"/>
  </r>
  <r>
    <s v="Data Analyst"/>
    <x v="4"/>
    <x v="2"/>
    <n v="63442"/>
    <s v="Low"/>
  </r>
  <r>
    <s v="Software Engineer"/>
    <x v="2"/>
    <x v="0"/>
    <n v="74407"/>
    <s v="Low"/>
  </r>
  <r>
    <s v="Electrical Engineer"/>
    <x v="3"/>
    <x v="1"/>
    <n v="52112"/>
    <s v="Medium"/>
  </r>
  <r>
    <s v="Software Engineer"/>
    <x v="3"/>
    <x v="3"/>
    <n v="50076"/>
    <s v="Low"/>
  </r>
  <r>
    <s v="Electrical Engineer"/>
    <x v="1"/>
    <x v="1"/>
    <n v="73989"/>
    <s v="Medium"/>
  </r>
  <r>
    <s v="Mechanical Engineer"/>
    <x v="3"/>
    <x v="0"/>
    <n v="42660"/>
    <s v="Medium"/>
  </r>
  <r>
    <s v="Mechanical Engineer"/>
    <x v="3"/>
    <x v="2"/>
    <n v="57384"/>
    <s v="Medium"/>
  </r>
  <r>
    <s v="Software Engineer"/>
    <x v="4"/>
    <x v="0"/>
    <n v="44107"/>
    <s v="Low"/>
  </r>
  <r>
    <s v="Electrical Engineer"/>
    <x v="1"/>
    <x v="4"/>
    <n v="76347"/>
    <s v="Medium"/>
  </r>
  <r>
    <s v="Mechanical Engineer"/>
    <x v="3"/>
    <x v="5"/>
    <n v="47870"/>
    <s v="Medium"/>
  </r>
  <r>
    <s v="Data Analyst"/>
    <x v="0"/>
    <x v="1"/>
    <n v="65651"/>
    <s v="Low"/>
  </r>
  <r>
    <s v="Software Engineer"/>
    <x v="0"/>
    <x v="4"/>
    <n v="60330"/>
    <s v="Low"/>
  </r>
  <r>
    <s v="Software Engineer"/>
    <x v="4"/>
    <x v="5"/>
    <n v="69561"/>
    <s v="Low"/>
  </r>
  <r>
    <s v="Electrical Engineer"/>
    <x v="2"/>
    <x v="0"/>
    <n v="72694"/>
    <s v="Medium"/>
  </r>
  <r>
    <s v="Mechanical Engineer"/>
    <x v="3"/>
    <x v="1"/>
    <n v="32848"/>
    <s v="Medium"/>
  </r>
  <r>
    <s v="Electrical Engineer"/>
    <x v="0"/>
    <x v="3"/>
    <n v="58933"/>
    <s v="Medium"/>
  </r>
  <r>
    <s v="Software Engineer"/>
    <x v="0"/>
    <x v="5"/>
    <n v="58668"/>
    <s v="Low"/>
  </r>
  <r>
    <s v="Software Engineer"/>
    <x v="0"/>
    <x v="0"/>
    <n v="34362"/>
    <s v="Low"/>
  </r>
  <r>
    <s v="Data Analyst"/>
    <x v="2"/>
    <x v="5"/>
    <n v="63231"/>
    <s v="Low"/>
  </r>
  <r>
    <s v="Software Engineer"/>
    <x v="1"/>
    <x v="0"/>
    <n v="97528"/>
    <s v="Low"/>
  </r>
  <r>
    <s v="Electrical Engineer"/>
    <x v="3"/>
    <x v="5"/>
    <n v="46910"/>
    <s v="Medium"/>
  </r>
  <r>
    <s v="ML Engineer"/>
    <x v="4"/>
    <x v="2"/>
    <n v="49079"/>
    <s v="Low"/>
  </r>
  <r>
    <s v="Data Analyst"/>
    <x v="2"/>
    <x v="2"/>
    <n v="46127"/>
    <s v="Low"/>
  </r>
  <r>
    <s v="Data Analyst"/>
    <x v="2"/>
    <x v="2"/>
    <n v="62682"/>
    <s v="Low"/>
  </r>
  <r>
    <s v="Electrical Engineer"/>
    <x v="4"/>
    <x v="5"/>
    <n v="64508"/>
    <s v="Medium"/>
  </r>
  <r>
    <s v="Software Engineer"/>
    <x v="4"/>
    <x v="0"/>
    <n v="46279"/>
    <s v="Low"/>
  </r>
  <r>
    <s v="Mechanical Engineer"/>
    <x v="0"/>
    <x v="2"/>
    <n v="59351"/>
    <s v="Medium"/>
  </r>
  <r>
    <s v="Software Engineer"/>
    <x v="3"/>
    <x v="3"/>
    <n v="56644"/>
    <s v="Low"/>
  </r>
  <r>
    <s v="ML Engineer"/>
    <x v="1"/>
    <x v="1"/>
    <n v="84386"/>
    <s v="Low"/>
  </r>
  <r>
    <s v="Software Engineer"/>
    <x v="0"/>
    <x v="1"/>
    <n v="32045"/>
    <s v="Low"/>
  </r>
  <r>
    <s v="Mechanical Engineer"/>
    <x v="1"/>
    <x v="5"/>
    <n v="87685"/>
    <s v="Medium"/>
  </r>
  <r>
    <s v="Data Analyst"/>
    <x v="0"/>
    <x v="3"/>
    <n v="52815"/>
    <s v="Low"/>
  </r>
  <r>
    <s v="Mechanical Engineer"/>
    <x v="3"/>
    <x v="1"/>
    <n v="68434"/>
    <s v="Medium"/>
  </r>
  <r>
    <s v="Mechanical Engineer"/>
    <x v="3"/>
    <x v="5"/>
    <n v="35440"/>
    <s v="Medium"/>
  </r>
  <r>
    <s v="ML Engineer"/>
    <x v="2"/>
    <x v="3"/>
    <n v="42405"/>
    <s v="Low"/>
  </r>
  <r>
    <s v="Electrical Engineer"/>
    <x v="4"/>
    <x v="2"/>
    <n v="35221"/>
    <s v="Medium"/>
  </r>
  <r>
    <s v="Software Engineer"/>
    <x v="1"/>
    <x v="2"/>
    <n v="78132"/>
    <s v="Low"/>
  </r>
  <r>
    <s v="ML Engineer"/>
    <x v="3"/>
    <x v="3"/>
    <n v="30648"/>
    <s v="Low"/>
  </r>
  <r>
    <s v="Data Analyst"/>
    <x v="0"/>
    <x v="5"/>
    <n v="42107"/>
    <s v="Low"/>
  </r>
  <r>
    <s v="ML Engineer"/>
    <x v="0"/>
    <x v="0"/>
    <n v="63483"/>
    <s v="Low"/>
  </r>
  <r>
    <s v="Software Engineer"/>
    <x v="4"/>
    <x v="5"/>
    <n v="63555"/>
    <s v="Low"/>
  </r>
  <r>
    <s v="Data Analyst"/>
    <x v="1"/>
    <x v="2"/>
    <n v="88672"/>
    <s v="Low"/>
  </r>
  <r>
    <s v="Mechanical Engineer"/>
    <x v="3"/>
    <x v="5"/>
    <n v="66910"/>
    <s v="Medium"/>
  </r>
  <r>
    <s v="Software Engineer"/>
    <x v="4"/>
    <x v="0"/>
    <n v="35535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471B2-85FC-4B18-BAF1-489F1A7622E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10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Employee_ID" fld="0" subtotal="count" baseField="9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241A6-646F-41B5-8B66-F494380D670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10" firstHeaderRow="1" firstDataRow="2" firstDataCol="1"/>
  <pivotFields count="10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Employee_ID" fld="0" subtotal="count" baseField="2" baseItem="0"/>
  </dataFields>
  <formats count="24"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9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9" count="0"/>
        </references>
      </pivotArea>
    </format>
    <format dxfId="18">
      <pivotArea dataOnly="0" labelOnly="1" grandCol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fieldPosition="0">
        <references count="1">
          <reference field="9" count="0"/>
        </references>
      </pivotArea>
    </format>
    <format dxfId="11">
      <pivotArea type="origin" dataOnly="0" labelOnly="1" outline="0" fieldPosition="0"/>
    </format>
    <format dxfId="9">
      <pivotArea field="9" type="button" dataOnly="0" labelOnly="1" outline="0" axis="axisCol" fieldPosition="0"/>
    </format>
    <format dxfId="7">
      <pivotArea type="topRight" dataOnly="0" labelOnly="1" outline="0" offset="B1" fieldPosition="0"/>
    </format>
    <format dxfId="6">
      <pivotArea type="topRight" dataOnly="0" labelOnly="1" outline="0" offset="A1" fieldPosition="0"/>
    </format>
    <format dxfId="5">
      <pivotArea dataOnly="0" labelOnly="1" grandCol="1" outline="0" fieldPosition="0"/>
    </format>
    <format dxfId="3">
      <pivotArea field="2" type="button" dataOnly="0" labelOnly="1" outline="0" axis="axisRow" fieldPosition="0"/>
    </format>
    <format dxfId="1">
      <pivotArea dataOnly="0" labelOnly="1" fieldPosition="0">
        <references count="1">
          <reference field="9" count="1">
            <x v="0"/>
          </reference>
        </references>
      </pivotArea>
    </format>
    <format dxfId="0">
      <pivotArea dataOnly="0" labelOnly="1" fieldPosition="0">
        <references count="1">
          <reference field="9" count="1">
            <x v="1"/>
          </reference>
        </references>
      </pivotArea>
    </format>
  </format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F2BA0-EABF-45AE-8D29-3B48C4849C68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5">
    <pivotField showAll="0"/>
    <pivotField axis="axisRow" showAll="0" includeNewItemsInFilter="1" countASubtotal="1">
      <items count="6">
        <item x="4"/>
        <item x="3"/>
        <item x="0"/>
        <item x="1"/>
        <item x="2"/>
        <item t="countA"/>
      </items>
    </pivotField>
    <pivotField dataField="1" showAll="0" countASubtotal="1">
      <items count="7">
        <item x="0"/>
        <item x="1"/>
        <item x="3"/>
        <item x="2"/>
        <item x="4"/>
        <item x="5"/>
        <item t="countA"/>
      </items>
    </pivotField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perience_Required" fld="2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DCBF5-475E-4E63-9963-397E71C05728}" name="Table1" displayName="Table1" ref="A1:J201" totalsRowShown="0" headerRowDxfId="36" dataDxfId="37">
  <autoFilter ref="A1:J201" xr:uid="{693DCBF5-475E-4E63-9963-397E71C05728}"/>
  <tableColumns count="10">
    <tableColumn id="1" xr3:uid="{1C02D59B-F4D6-461E-9B61-54749B299738}" name="Employee_ID" dataDxfId="47"/>
    <tableColumn id="2" xr3:uid="{A54BDBFB-24AE-44AF-9455-C68BCF45699C}" name="Age" dataDxfId="46"/>
    <tableColumn id="3" xr3:uid="{C1FEB0DC-D1A6-4D8E-ABD0-43E1301BD7D6}" name="Domain" dataDxfId="45"/>
    <tableColumn id="4" xr3:uid="{DFC69461-DB67-4C8A-8F62-5B7434C2E596}" name="Salary " dataDxfId="44"/>
    <tableColumn id="5" xr3:uid="{C6E2BF79-D9A0-4716-96E5-E26E13ABAE77}" name="Working_Hours" dataDxfId="43"/>
    <tableColumn id="6" xr3:uid="{E0B82D40-A95F-4F9C-B69B-2427F8524392}" name="Work_Life_Balance" dataDxfId="42"/>
    <tableColumn id="7" xr3:uid="{CADA9BBE-B198-414A-B4E6-38F023FECD66}" name="Job_Satisfaction" dataDxfId="41"/>
    <tableColumn id="8" xr3:uid="{01C45B74-26B0-4917-AF63-F61FC6ED121D}" name="Experience" dataDxfId="40"/>
    <tableColumn id="9" xr3:uid="{E2A1C788-1217-4A12-9DE8-A02A7C6849C5}" name="Skill" dataDxfId="39"/>
    <tableColumn id="10" xr3:uid="{A1343B3F-2ED9-4E6F-839D-135669AFD918}" name="Attrition" dataDxfId="3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9A9D7C-D0DA-4B54-98E3-E57A089ADA32}" name="Table2" displayName="Table2" ref="A1:E151" totalsRowShown="0">
  <autoFilter ref="A1:E151" xr:uid="{AE9A9D7C-D0DA-4B54-98E3-E57A089ADA32}"/>
  <tableColumns count="5">
    <tableColumn id="1" xr3:uid="{3F4F9AB6-3D59-425B-96D4-C7A83580B6C5}" name="Job_Role"/>
    <tableColumn id="2" xr3:uid="{0FF840FB-660B-48E9-8C3C-5C29274745A0}" name="Required_Skill"/>
    <tableColumn id="3" xr3:uid="{CDB578BC-A79D-435B-9657-5EDC1DD2514E}" name="Experience_Required"/>
    <tableColumn id="4" xr3:uid="{C256189E-AC05-4339-BEEF-CD23604B0CB5}" name="Salary_Offered"/>
    <tableColumn id="5" xr3:uid="{AD699970-20FE-4712-B3F1-FBAAA6C10477}" name="AI_Risk_Leve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369A70-5056-43DA-840B-6F2CE9245D4A}" name="Table3" displayName="Table3" ref="A1:B5" totalsRowShown="0">
  <autoFilter ref="A1:B5" xr:uid="{B9369A70-5056-43DA-840B-6F2CE9245D4A}"/>
  <tableColumns count="2">
    <tableColumn id="1" xr3:uid="{EE9ED040-35A7-4C09-8DD3-CE00B225290C}" name="Metric"/>
    <tableColumn id="2" xr3:uid="{3C795AB9-4F52-48C4-8E92-228B2AF26FDD}" name="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BB1097-7216-4606-BB00-B5F240F07F54}" name="Table4" displayName="Table4" ref="E1:F7" totalsRowShown="0">
  <autoFilter ref="E1:F7" xr:uid="{55BB1097-7216-4606-BB00-B5F240F07F54}"/>
  <tableColumns count="2">
    <tableColumn id="1" xr3:uid="{BDAB9261-79B9-4F00-A35C-0307A4FD3E8E}" name="Department"/>
    <tableColumn id="2" xr3:uid="{556EF32A-EAAE-4692-891C-D2DA95CB38A9}" name="Column1">
      <calculatedColumnFormula>COUNTIF(Employee_Data!C:C,E2)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zoomScale="107" zoomScaleNormal="145" workbookViewId="0">
      <selection activeCell="L9" sqref="L9"/>
    </sheetView>
  </sheetViews>
  <sheetFormatPr defaultRowHeight="14.4" x14ac:dyDescent="0.3"/>
  <cols>
    <col min="1" max="1" width="14" style="1" customWidth="1"/>
    <col min="2" max="2" width="8.88671875" style="1"/>
    <col min="3" max="3" width="15" style="1" customWidth="1"/>
    <col min="4" max="4" width="8.88671875" style="1"/>
    <col min="5" max="5" width="15.88671875" style="1" customWidth="1"/>
    <col min="6" max="6" width="20.33203125" style="1" customWidth="1"/>
    <col min="7" max="7" width="17.44140625" style="1" customWidth="1"/>
    <col min="8" max="8" width="12" style="1" customWidth="1"/>
    <col min="9" max="9" width="8.88671875" style="1"/>
    <col min="10" max="10" width="9.88671875" style="1" customWidth="1"/>
    <col min="11" max="16384" width="8.88671875" style="1"/>
  </cols>
  <sheetData>
    <row r="1" spans="1:10" x14ac:dyDescent="0.3">
      <c r="A1" s="8" t="s">
        <v>0</v>
      </c>
      <c r="B1" s="8" t="s">
        <v>1</v>
      </c>
      <c r="C1" s="8" t="s">
        <v>36</v>
      </c>
      <c r="D1" s="8" t="s">
        <v>35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</row>
    <row r="2" spans="1:10" x14ac:dyDescent="0.3">
      <c r="A2" s="2">
        <v>101</v>
      </c>
      <c r="B2" s="2">
        <v>29</v>
      </c>
      <c r="C2" s="2" t="s">
        <v>9</v>
      </c>
      <c r="D2" s="2">
        <v>38188</v>
      </c>
      <c r="E2" s="2">
        <v>9</v>
      </c>
      <c r="F2" s="2">
        <v>3</v>
      </c>
      <c r="G2" s="2">
        <v>4</v>
      </c>
      <c r="H2" s="2">
        <v>6</v>
      </c>
      <c r="I2" s="2" t="s">
        <v>10</v>
      </c>
      <c r="J2" s="2" t="s">
        <v>11</v>
      </c>
    </row>
    <row r="3" spans="1:10" x14ac:dyDescent="0.3">
      <c r="A3" s="2">
        <v>102</v>
      </c>
      <c r="B3" s="2">
        <v>36</v>
      </c>
      <c r="C3" s="2" t="s">
        <v>12</v>
      </c>
      <c r="D3" s="2">
        <v>30309</v>
      </c>
      <c r="E3" s="2">
        <v>10</v>
      </c>
      <c r="F3" s="2">
        <v>2</v>
      </c>
      <c r="G3" s="2">
        <v>2</v>
      </c>
      <c r="H3" s="2">
        <v>8</v>
      </c>
      <c r="I3" s="2" t="s">
        <v>13</v>
      </c>
      <c r="J3" s="2" t="s">
        <v>11</v>
      </c>
    </row>
    <row r="4" spans="1:10" x14ac:dyDescent="0.3">
      <c r="A4" s="2">
        <v>103</v>
      </c>
      <c r="B4" s="2">
        <v>45</v>
      </c>
      <c r="C4" s="2" t="s">
        <v>9</v>
      </c>
      <c r="D4" s="2">
        <v>78608</v>
      </c>
      <c r="E4" s="2">
        <v>7</v>
      </c>
      <c r="F4" s="2">
        <v>5</v>
      </c>
      <c r="G4" s="2">
        <v>5</v>
      </c>
      <c r="H4" s="2">
        <v>3</v>
      </c>
      <c r="I4" s="2" t="s">
        <v>10</v>
      </c>
      <c r="J4" s="2" t="s">
        <v>14</v>
      </c>
    </row>
    <row r="5" spans="1:10" x14ac:dyDescent="0.3">
      <c r="A5" s="2">
        <v>104</v>
      </c>
      <c r="B5" s="2">
        <v>22</v>
      </c>
      <c r="C5" s="2" t="s">
        <v>12</v>
      </c>
      <c r="D5" s="2">
        <v>71743</v>
      </c>
      <c r="E5" s="2">
        <v>6</v>
      </c>
      <c r="F5" s="2">
        <v>5</v>
      </c>
      <c r="G5" s="2">
        <v>4</v>
      </c>
      <c r="H5" s="2">
        <v>8</v>
      </c>
      <c r="I5" s="2" t="s">
        <v>13</v>
      </c>
      <c r="J5" s="2" t="s">
        <v>14</v>
      </c>
    </row>
    <row r="6" spans="1:10" x14ac:dyDescent="0.3">
      <c r="A6" s="2">
        <v>105</v>
      </c>
      <c r="B6" s="2">
        <v>36</v>
      </c>
      <c r="C6" s="2" t="s">
        <v>12</v>
      </c>
      <c r="D6" s="2">
        <v>46576</v>
      </c>
      <c r="E6" s="2">
        <v>7</v>
      </c>
      <c r="F6" s="2">
        <v>5</v>
      </c>
      <c r="G6" s="2">
        <v>2</v>
      </c>
      <c r="H6" s="2">
        <v>0</v>
      </c>
      <c r="I6" s="2" t="s">
        <v>15</v>
      </c>
      <c r="J6" s="2" t="s">
        <v>11</v>
      </c>
    </row>
    <row r="7" spans="1:10" x14ac:dyDescent="0.3">
      <c r="A7" s="2">
        <v>106</v>
      </c>
      <c r="B7" s="2">
        <v>32</v>
      </c>
      <c r="C7" s="2" t="s">
        <v>16</v>
      </c>
      <c r="D7" s="2">
        <v>45952</v>
      </c>
      <c r="E7" s="2">
        <v>10</v>
      </c>
      <c r="F7" s="2">
        <v>2</v>
      </c>
      <c r="G7" s="2">
        <v>5</v>
      </c>
      <c r="H7" s="2">
        <v>1</v>
      </c>
      <c r="I7" s="2" t="s">
        <v>17</v>
      </c>
      <c r="J7" s="2" t="s">
        <v>11</v>
      </c>
    </row>
    <row r="8" spans="1:10" x14ac:dyDescent="0.3">
      <c r="A8" s="2">
        <v>107</v>
      </c>
      <c r="B8" s="2">
        <v>28</v>
      </c>
      <c r="C8" s="2" t="s">
        <v>12</v>
      </c>
      <c r="D8" s="2">
        <v>53508</v>
      </c>
      <c r="E8" s="2">
        <v>6</v>
      </c>
      <c r="F8" s="2">
        <v>5</v>
      </c>
      <c r="G8" s="2">
        <v>4</v>
      </c>
      <c r="H8" s="2">
        <v>9</v>
      </c>
      <c r="I8" s="2" t="s">
        <v>13</v>
      </c>
      <c r="J8" s="2" t="s">
        <v>14</v>
      </c>
    </row>
    <row r="9" spans="1:10" x14ac:dyDescent="0.3">
      <c r="A9" s="2">
        <v>108</v>
      </c>
      <c r="B9" s="2">
        <v>33</v>
      </c>
      <c r="C9" s="2" t="s">
        <v>18</v>
      </c>
      <c r="D9" s="2">
        <v>47415</v>
      </c>
      <c r="E9" s="2">
        <v>8</v>
      </c>
      <c r="F9" s="2">
        <v>4</v>
      </c>
      <c r="G9" s="2">
        <v>5</v>
      </c>
      <c r="H9" s="2">
        <v>8</v>
      </c>
      <c r="I9" s="2" t="s">
        <v>19</v>
      </c>
      <c r="J9" s="2" t="s">
        <v>14</v>
      </c>
    </row>
    <row r="10" spans="1:10" x14ac:dyDescent="0.3">
      <c r="A10" s="2">
        <v>109</v>
      </c>
      <c r="B10" s="2">
        <v>43</v>
      </c>
      <c r="C10" s="2" t="s">
        <v>9</v>
      </c>
      <c r="D10" s="2">
        <v>81446</v>
      </c>
      <c r="E10" s="2">
        <v>6</v>
      </c>
      <c r="F10" s="2">
        <v>5</v>
      </c>
      <c r="G10" s="2">
        <v>2</v>
      </c>
      <c r="H10" s="2">
        <v>7</v>
      </c>
      <c r="I10" s="2" t="s">
        <v>20</v>
      </c>
      <c r="J10" s="2" t="s">
        <v>11</v>
      </c>
    </row>
    <row r="11" spans="1:10" x14ac:dyDescent="0.3">
      <c r="A11" s="2">
        <v>110</v>
      </c>
      <c r="B11" s="2">
        <v>32</v>
      </c>
      <c r="C11" s="2" t="s">
        <v>21</v>
      </c>
      <c r="D11" s="2">
        <v>35493</v>
      </c>
      <c r="E11" s="2">
        <v>6</v>
      </c>
      <c r="F11" s="2">
        <v>5</v>
      </c>
      <c r="G11" s="2">
        <v>4</v>
      </c>
      <c r="H11" s="2">
        <v>6</v>
      </c>
      <c r="I11" s="2" t="s">
        <v>22</v>
      </c>
      <c r="J11" s="2" t="s">
        <v>11</v>
      </c>
    </row>
    <row r="12" spans="1:10" x14ac:dyDescent="0.3">
      <c r="A12" s="2">
        <v>111</v>
      </c>
      <c r="B12" s="2">
        <v>39</v>
      </c>
      <c r="C12" s="2" t="s">
        <v>16</v>
      </c>
      <c r="D12" s="2">
        <v>52830</v>
      </c>
      <c r="E12" s="2">
        <v>9</v>
      </c>
      <c r="F12" s="2">
        <v>3</v>
      </c>
      <c r="G12" s="2">
        <v>3</v>
      </c>
      <c r="H12" s="2">
        <v>9</v>
      </c>
      <c r="I12" s="2" t="s">
        <v>17</v>
      </c>
      <c r="J12" s="2" t="s">
        <v>14</v>
      </c>
    </row>
    <row r="13" spans="1:10" x14ac:dyDescent="0.3">
      <c r="A13" s="2">
        <v>112</v>
      </c>
      <c r="B13" s="2">
        <v>33</v>
      </c>
      <c r="C13" s="2" t="s">
        <v>21</v>
      </c>
      <c r="D13" s="2">
        <v>33504</v>
      </c>
      <c r="E13" s="2">
        <v>6</v>
      </c>
      <c r="F13" s="2">
        <v>5</v>
      </c>
      <c r="G13" s="2">
        <v>5</v>
      </c>
      <c r="H13" s="2">
        <v>6</v>
      </c>
      <c r="I13" s="2" t="s">
        <v>10</v>
      </c>
      <c r="J13" s="2" t="s">
        <v>11</v>
      </c>
    </row>
    <row r="14" spans="1:10" x14ac:dyDescent="0.3">
      <c r="A14" s="2">
        <v>113</v>
      </c>
      <c r="B14" s="2">
        <v>40</v>
      </c>
      <c r="C14" s="2" t="s">
        <v>18</v>
      </c>
      <c r="D14" s="2">
        <v>74044</v>
      </c>
      <c r="E14" s="2">
        <v>7</v>
      </c>
      <c r="F14" s="2">
        <v>5</v>
      </c>
      <c r="G14" s="2">
        <v>2</v>
      </c>
      <c r="H14" s="2">
        <v>7</v>
      </c>
      <c r="I14" s="2" t="s">
        <v>19</v>
      </c>
      <c r="J14" s="2" t="s">
        <v>11</v>
      </c>
    </row>
    <row r="15" spans="1:10" x14ac:dyDescent="0.3">
      <c r="A15" s="2">
        <v>114</v>
      </c>
      <c r="B15" s="2">
        <v>41</v>
      </c>
      <c r="C15" s="2" t="s">
        <v>12</v>
      </c>
      <c r="D15" s="2">
        <v>53038</v>
      </c>
      <c r="E15" s="2">
        <v>9</v>
      </c>
      <c r="F15" s="2">
        <v>3</v>
      </c>
      <c r="G15" s="2">
        <v>5</v>
      </c>
      <c r="H15" s="2">
        <v>0</v>
      </c>
      <c r="I15" s="2" t="s">
        <v>15</v>
      </c>
      <c r="J15" s="2" t="s">
        <v>14</v>
      </c>
    </row>
    <row r="16" spans="1:10" x14ac:dyDescent="0.3">
      <c r="A16" s="2">
        <v>115</v>
      </c>
      <c r="B16" s="2">
        <v>30</v>
      </c>
      <c r="C16" s="2" t="s">
        <v>12</v>
      </c>
      <c r="D16" s="2">
        <v>76638</v>
      </c>
      <c r="E16" s="2">
        <v>7</v>
      </c>
      <c r="F16" s="2">
        <v>5</v>
      </c>
      <c r="G16" s="2">
        <v>5</v>
      </c>
      <c r="H16" s="2">
        <v>8</v>
      </c>
      <c r="I16" s="2" t="s">
        <v>13</v>
      </c>
      <c r="J16" s="2" t="s">
        <v>14</v>
      </c>
    </row>
    <row r="17" spans="1:10" x14ac:dyDescent="0.3">
      <c r="A17" s="2">
        <v>116</v>
      </c>
      <c r="B17" s="2">
        <v>45</v>
      </c>
      <c r="C17" s="2" t="s">
        <v>21</v>
      </c>
      <c r="D17" s="2">
        <v>36429</v>
      </c>
      <c r="E17" s="2">
        <v>7</v>
      </c>
      <c r="F17" s="2">
        <v>5</v>
      </c>
      <c r="G17" s="2">
        <v>3</v>
      </c>
      <c r="H17" s="2">
        <v>0</v>
      </c>
      <c r="I17" s="2" t="s">
        <v>22</v>
      </c>
      <c r="J17" s="2" t="s">
        <v>11</v>
      </c>
    </row>
    <row r="18" spans="1:10" x14ac:dyDescent="0.3">
      <c r="A18" s="2">
        <v>117</v>
      </c>
      <c r="B18" s="2">
        <v>24</v>
      </c>
      <c r="C18" s="2" t="s">
        <v>12</v>
      </c>
      <c r="D18" s="2">
        <v>26489</v>
      </c>
      <c r="E18" s="2">
        <v>8</v>
      </c>
      <c r="F18" s="2">
        <v>4</v>
      </c>
      <c r="G18" s="2">
        <v>4</v>
      </c>
      <c r="H18" s="2">
        <v>8</v>
      </c>
      <c r="I18" s="2" t="s">
        <v>13</v>
      </c>
      <c r="J18" s="2" t="s">
        <v>11</v>
      </c>
    </row>
    <row r="19" spans="1:10" x14ac:dyDescent="0.3">
      <c r="A19" s="2">
        <v>118</v>
      </c>
      <c r="B19" s="2">
        <v>39</v>
      </c>
      <c r="C19" s="2" t="s">
        <v>16</v>
      </c>
      <c r="D19" s="2">
        <v>52893</v>
      </c>
      <c r="E19" s="2">
        <v>8</v>
      </c>
      <c r="F19" s="2">
        <v>4</v>
      </c>
      <c r="G19" s="2">
        <v>3</v>
      </c>
      <c r="H19" s="2">
        <v>8</v>
      </c>
      <c r="I19" s="2" t="s">
        <v>17</v>
      </c>
      <c r="J19" s="2" t="s">
        <v>14</v>
      </c>
    </row>
    <row r="20" spans="1:10" x14ac:dyDescent="0.3">
      <c r="A20" s="2">
        <v>119</v>
      </c>
      <c r="B20" s="2">
        <v>40</v>
      </c>
      <c r="C20" s="2" t="s">
        <v>12</v>
      </c>
      <c r="D20" s="2">
        <v>70869</v>
      </c>
      <c r="E20" s="2">
        <v>7</v>
      </c>
      <c r="F20" s="2">
        <v>5</v>
      </c>
      <c r="G20" s="2">
        <v>2</v>
      </c>
      <c r="H20" s="2">
        <v>0</v>
      </c>
      <c r="I20" s="2" t="s">
        <v>13</v>
      </c>
      <c r="J20" s="2" t="s">
        <v>11</v>
      </c>
    </row>
    <row r="21" spans="1:10" x14ac:dyDescent="0.3">
      <c r="A21" s="2">
        <v>120</v>
      </c>
      <c r="B21" s="2">
        <v>27</v>
      </c>
      <c r="C21" s="2" t="s">
        <v>21</v>
      </c>
      <c r="D21" s="2">
        <v>29156</v>
      </c>
      <c r="E21" s="2">
        <v>9</v>
      </c>
      <c r="F21" s="2">
        <v>3</v>
      </c>
      <c r="G21" s="2">
        <v>5</v>
      </c>
      <c r="H21" s="2">
        <v>10</v>
      </c>
      <c r="I21" s="2" t="s">
        <v>10</v>
      </c>
      <c r="J21" s="2" t="s">
        <v>11</v>
      </c>
    </row>
    <row r="22" spans="1:10" x14ac:dyDescent="0.3">
      <c r="A22" s="2">
        <v>121</v>
      </c>
      <c r="B22" s="2">
        <v>26</v>
      </c>
      <c r="C22" s="2" t="s">
        <v>21</v>
      </c>
      <c r="D22" s="2">
        <v>44126</v>
      </c>
      <c r="E22" s="2">
        <v>9</v>
      </c>
      <c r="F22" s="2">
        <v>3</v>
      </c>
      <c r="G22" s="2">
        <v>1</v>
      </c>
      <c r="H22" s="2">
        <v>3</v>
      </c>
      <c r="I22" s="2" t="s">
        <v>10</v>
      </c>
      <c r="J22" s="2" t="s">
        <v>11</v>
      </c>
    </row>
    <row r="23" spans="1:10" x14ac:dyDescent="0.3">
      <c r="A23" s="2">
        <v>122</v>
      </c>
      <c r="B23" s="2">
        <v>23</v>
      </c>
      <c r="C23" s="2" t="s">
        <v>9</v>
      </c>
      <c r="D23" s="2">
        <v>38210</v>
      </c>
      <c r="E23" s="2">
        <v>8</v>
      </c>
      <c r="F23" s="2">
        <v>4</v>
      </c>
      <c r="G23" s="2">
        <v>1</v>
      </c>
      <c r="H23" s="2">
        <v>8</v>
      </c>
      <c r="I23" s="2" t="s">
        <v>20</v>
      </c>
      <c r="J23" s="2" t="s">
        <v>11</v>
      </c>
    </row>
    <row r="24" spans="1:10" x14ac:dyDescent="0.3">
      <c r="A24" s="2">
        <v>123</v>
      </c>
      <c r="B24" s="2">
        <v>35</v>
      </c>
      <c r="C24" s="2" t="s">
        <v>12</v>
      </c>
      <c r="D24" s="2">
        <v>86147</v>
      </c>
      <c r="E24" s="2">
        <v>9</v>
      </c>
      <c r="F24" s="2">
        <v>3</v>
      </c>
      <c r="G24" s="2">
        <v>5</v>
      </c>
      <c r="H24" s="2">
        <v>10</v>
      </c>
      <c r="I24" s="2" t="s">
        <v>15</v>
      </c>
      <c r="J24" s="2" t="s">
        <v>14</v>
      </c>
    </row>
    <row r="25" spans="1:10" x14ac:dyDescent="0.3">
      <c r="A25" s="2">
        <v>124</v>
      </c>
      <c r="B25" s="2">
        <v>34</v>
      </c>
      <c r="C25" s="2" t="s">
        <v>9</v>
      </c>
      <c r="D25" s="2">
        <v>36245</v>
      </c>
      <c r="E25" s="2">
        <v>8</v>
      </c>
      <c r="F25" s="2">
        <v>4</v>
      </c>
      <c r="G25" s="2">
        <v>1</v>
      </c>
      <c r="H25" s="2">
        <v>4</v>
      </c>
      <c r="I25" s="2" t="s">
        <v>20</v>
      </c>
      <c r="J25" s="2" t="s">
        <v>11</v>
      </c>
    </row>
    <row r="26" spans="1:10" x14ac:dyDescent="0.3">
      <c r="A26" s="2">
        <v>125</v>
      </c>
      <c r="B26" s="2">
        <v>44</v>
      </c>
      <c r="C26" s="2" t="s">
        <v>12</v>
      </c>
      <c r="D26" s="2">
        <v>33458</v>
      </c>
      <c r="E26" s="2">
        <v>8</v>
      </c>
      <c r="F26" s="2">
        <v>4</v>
      </c>
      <c r="G26" s="2">
        <v>4</v>
      </c>
      <c r="H26" s="2">
        <v>9</v>
      </c>
      <c r="I26" s="2" t="s">
        <v>13</v>
      </c>
      <c r="J26" s="2" t="s">
        <v>11</v>
      </c>
    </row>
    <row r="27" spans="1:10" x14ac:dyDescent="0.3">
      <c r="A27" s="2">
        <v>126</v>
      </c>
      <c r="B27" s="2">
        <v>43</v>
      </c>
      <c r="C27" s="2" t="s">
        <v>16</v>
      </c>
      <c r="D27" s="2">
        <v>53194</v>
      </c>
      <c r="E27" s="2">
        <v>8</v>
      </c>
      <c r="F27" s="2">
        <v>4</v>
      </c>
      <c r="G27" s="2">
        <v>5</v>
      </c>
      <c r="H27" s="2">
        <v>7</v>
      </c>
      <c r="I27" s="2" t="s">
        <v>17</v>
      </c>
      <c r="J27" s="2" t="s">
        <v>14</v>
      </c>
    </row>
    <row r="28" spans="1:10" x14ac:dyDescent="0.3">
      <c r="A28" s="2">
        <v>127</v>
      </c>
      <c r="B28" s="2">
        <v>34</v>
      </c>
      <c r="C28" s="2" t="s">
        <v>21</v>
      </c>
      <c r="D28" s="2">
        <v>45327</v>
      </c>
      <c r="E28" s="2">
        <v>9</v>
      </c>
      <c r="F28" s="2">
        <v>3</v>
      </c>
      <c r="G28" s="2">
        <v>1</v>
      </c>
      <c r="H28" s="2">
        <v>4</v>
      </c>
      <c r="I28" s="2" t="s">
        <v>10</v>
      </c>
      <c r="J28" s="2" t="s">
        <v>11</v>
      </c>
    </row>
    <row r="29" spans="1:10" x14ac:dyDescent="0.3">
      <c r="A29" s="2">
        <v>128</v>
      </c>
      <c r="B29" s="2">
        <v>24</v>
      </c>
      <c r="C29" s="2" t="s">
        <v>12</v>
      </c>
      <c r="D29" s="2">
        <v>51416</v>
      </c>
      <c r="E29" s="2">
        <v>10</v>
      </c>
      <c r="F29" s="2">
        <v>2</v>
      </c>
      <c r="G29" s="2">
        <v>3</v>
      </c>
      <c r="H29" s="2">
        <v>5</v>
      </c>
      <c r="I29" s="2" t="s">
        <v>15</v>
      </c>
      <c r="J29" s="2" t="s">
        <v>11</v>
      </c>
    </row>
    <row r="30" spans="1:10" x14ac:dyDescent="0.3">
      <c r="A30" s="2">
        <v>129</v>
      </c>
      <c r="B30" s="2">
        <v>34</v>
      </c>
      <c r="C30" s="2" t="s">
        <v>9</v>
      </c>
      <c r="D30" s="2">
        <v>85724</v>
      </c>
      <c r="E30" s="2">
        <v>9</v>
      </c>
      <c r="F30" s="2">
        <v>3</v>
      </c>
      <c r="G30" s="2">
        <v>2</v>
      </c>
      <c r="H30" s="2">
        <v>9</v>
      </c>
      <c r="I30" s="2" t="s">
        <v>10</v>
      </c>
      <c r="J30" s="2" t="s">
        <v>11</v>
      </c>
    </row>
    <row r="31" spans="1:10" x14ac:dyDescent="0.3">
      <c r="A31" s="2">
        <v>130</v>
      </c>
      <c r="B31" s="2">
        <v>26</v>
      </c>
      <c r="C31" s="2" t="s">
        <v>16</v>
      </c>
      <c r="D31" s="2">
        <v>53915</v>
      </c>
      <c r="E31" s="2">
        <v>10</v>
      </c>
      <c r="F31" s="2">
        <v>2</v>
      </c>
      <c r="G31" s="2">
        <v>4</v>
      </c>
      <c r="H31" s="2">
        <v>5</v>
      </c>
      <c r="I31" s="2" t="s">
        <v>17</v>
      </c>
      <c r="J31" s="2" t="s">
        <v>11</v>
      </c>
    </row>
    <row r="32" spans="1:10" x14ac:dyDescent="0.3">
      <c r="A32" s="2">
        <v>131</v>
      </c>
      <c r="B32" s="2">
        <v>31</v>
      </c>
      <c r="C32" s="2" t="s">
        <v>16</v>
      </c>
      <c r="D32" s="2">
        <v>59776</v>
      </c>
      <c r="E32" s="2">
        <v>9</v>
      </c>
      <c r="F32" s="2">
        <v>3</v>
      </c>
      <c r="G32" s="2">
        <v>5</v>
      </c>
      <c r="H32" s="2">
        <v>7</v>
      </c>
      <c r="I32" s="2" t="s">
        <v>17</v>
      </c>
      <c r="J32" s="2" t="s">
        <v>14</v>
      </c>
    </row>
    <row r="33" spans="1:10" x14ac:dyDescent="0.3">
      <c r="A33" s="2">
        <v>132</v>
      </c>
      <c r="B33" s="2">
        <v>29</v>
      </c>
      <c r="C33" s="2" t="s">
        <v>18</v>
      </c>
      <c r="D33" s="2">
        <v>59444</v>
      </c>
      <c r="E33" s="2">
        <v>7</v>
      </c>
      <c r="F33" s="2">
        <v>5</v>
      </c>
      <c r="G33" s="2">
        <v>4</v>
      </c>
      <c r="H33" s="2">
        <v>7</v>
      </c>
      <c r="I33" s="2" t="s">
        <v>19</v>
      </c>
      <c r="J33" s="2" t="s">
        <v>14</v>
      </c>
    </row>
    <row r="34" spans="1:10" x14ac:dyDescent="0.3">
      <c r="A34" s="2">
        <v>133</v>
      </c>
      <c r="B34" s="2">
        <v>22</v>
      </c>
      <c r="C34" s="2" t="s">
        <v>18</v>
      </c>
      <c r="D34" s="2">
        <v>27815</v>
      </c>
      <c r="E34" s="2">
        <v>9</v>
      </c>
      <c r="F34" s="2">
        <v>3</v>
      </c>
      <c r="G34" s="2">
        <v>2</v>
      </c>
      <c r="H34" s="2">
        <v>1</v>
      </c>
      <c r="I34" s="2" t="s">
        <v>19</v>
      </c>
      <c r="J34" s="2" t="s">
        <v>11</v>
      </c>
    </row>
    <row r="35" spans="1:10" x14ac:dyDescent="0.3">
      <c r="A35" s="2">
        <v>134</v>
      </c>
      <c r="B35" s="2">
        <v>26</v>
      </c>
      <c r="C35" s="2" t="s">
        <v>21</v>
      </c>
      <c r="D35" s="2">
        <v>43957</v>
      </c>
      <c r="E35" s="2">
        <v>9</v>
      </c>
      <c r="F35" s="2">
        <v>3</v>
      </c>
      <c r="G35" s="2">
        <v>5</v>
      </c>
      <c r="H35" s="2">
        <v>10</v>
      </c>
      <c r="I35" s="2" t="s">
        <v>22</v>
      </c>
      <c r="J35" s="2" t="s">
        <v>14</v>
      </c>
    </row>
    <row r="36" spans="1:10" x14ac:dyDescent="0.3">
      <c r="A36" s="2">
        <v>135</v>
      </c>
      <c r="B36" s="2">
        <v>26</v>
      </c>
      <c r="C36" s="2" t="s">
        <v>16</v>
      </c>
      <c r="D36" s="2">
        <v>38987</v>
      </c>
      <c r="E36" s="2">
        <v>9</v>
      </c>
      <c r="F36" s="2">
        <v>3</v>
      </c>
      <c r="G36" s="2">
        <v>4</v>
      </c>
      <c r="H36" s="2">
        <v>8</v>
      </c>
      <c r="I36" s="2" t="s">
        <v>17</v>
      </c>
      <c r="J36" s="2" t="s">
        <v>11</v>
      </c>
    </row>
    <row r="37" spans="1:10" x14ac:dyDescent="0.3">
      <c r="A37" s="2">
        <v>136</v>
      </c>
      <c r="B37" s="2">
        <v>22</v>
      </c>
      <c r="C37" s="2" t="s">
        <v>16</v>
      </c>
      <c r="D37" s="2">
        <v>86995</v>
      </c>
      <c r="E37" s="2">
        <v>6</v>
      </c>
      <c r="F37" s="2">
        <v>5</v>
      </c>
      <c r="G37" s="2">
        <v>2</v>
      </c>
      <c r="H37" s="2">
        <v>3</v>
      </c>
      <c r="I37" s="2" t="s">
        <v>17</v>
      </c>
      <c r="J37" s="2" t="s">
        <v>11</v>
      </c>
    </row>
    <row r="38" spans="1:10" x14ac:dyDescent="0.3">
      <c r="A38" s="2">
        <v>137</v>
      </c>
      <c r="B38" s="2">
        <v>38</v>
      </c>
      <c r="C38" s="2" t="s">
        <v>18</v>
      </c>
      <c r="D38" s="2">
        <v>38614</v>
      </c>
      <c r="E38" s="2">
        <v>6</v>
      </c>
      <c r="F38" s="2">
        <v>5</v>
      </c>
      <c r="G38" s="2">
        <v>5</v>
      </c>
      <c r="H38" s="2">
        <v>8</v>
      </c>
      <c r="I38" s="2" t="s">
        <v>19</v>
      </c>
      <c r="J38" s="2" t="s">
        <v>11</v>
      </c>
    </row>
    <row r="39" spans="1:10" x14ac:dyDescent="0.3">
      <c r="A39" s="2">
        <v>138</v>
      </c>
      <c r="B39" s="2">
        <v>32</v>
      </c>
      <c r="C39" s="2" t="s">
        <v>12</v>
      </c>
      <c r="D39" s="2">
        <v>79759</v>
      </c>
      <c r="E39" s="2">
        <v>10</v>
      </c>
      <c r="F39" s="2">
        <v>2</v>
      </c>
      <c r="G39" s="2">
        <v>1</v>
      </c>
      <c r="H39" s="2">
        <v>2</v>
      </c>
      <c r="I39" s="2" t="s">
        <v>13</v>
      </c>
      <c r="J39" s="2" t="s">
        <v>11</v>
      </c>
    </row>
    <row r="40" spans="1:10" x14ac:dyDescent="0.3">
      <c r="A40" s="2">
        <v>139</v>
      </c>
      <c r="B40" s="2">
        <v>35</v>
      </c>
      <c r="C40" s="2" t="s">
        <v>12</v>
      </c>
      <c r="D40" s="2">
        <v>76118</v>
      </c>
      <c r="E40" s="2">
        <v>8</v>
      </c>
      <c r="F40" s="2">
        <v>4</v>
      </c>
      <c r="G40" s="2">
        <v>4</v>
      </c>
      <c r="H40" s="2">
        <v>8</v>
      </c>
      <c r="I40" s="2" t="s">
        <v>15</v>
      </c>
      <c r="J40" s="2" t="s">
        <v>14</v>
      </c>
    </row>
    <row r="41" spans="1:10" x14ac:dyDescent="0.3">
      <c r="A41" s="2">
        <v>140</v>
      </c>
      <c r="B41" s="2">
        <v>45</v>
      </c>
      <c r="C41" s="2" t="s">
        <v>21</v>
      </c>
      <c r="D41" s="2">
        <v>84171</v>
      </c>
      <c r="E41" s="2">
        <v>6</v>
      </c>
      <c r="F41" s="2">
        <v>5</v>
      </c>
      <c r="G41" s="2">
        <v>1</v>
      </c>
      <c r="H41" s="2">
        <v>6</v>
      </c>
      <c r="I41" s="2" t="s">
        <v>22</v>
      </c>
      <c r="J41" s="2" t="s">
        <v>11</v>
      </c>
    </row>
    <row r="42" spans="1:10" x14ac:dyDescent="0.3">
      <c r="A42" s="2">
        <v>141</v>
      </c>
      <c r="B42" s="2">
        <v>40</v>
      </c>
      <c r="C42" s="2" t="s">
        <v>12</v>
      </c>
      <c r="D42" s="2">
        <v>72991</v>
      </c>
      <c r="E42" s="2">
        <v>10</v>
      </c>
      <c r="F42" s="2">
        <v>2</v>
      </c>
      <c r="G42" s="2">
        <v>3</v>
      </c>
      <c r="H42" s="2">
        <v>5</v>
      </c>
      <c r="I42" s="2" t="s">
        <v>13</v>
      </c>
      <c r="J42" s="2" t="s">
        <v>11</v>
      </c>
    </row>
    <row r="43" spans="1:10" x14ac:dyDescent="0.3">
      <c r="A43" s="2">
        <v>142</v>
      </c>
      <c r="B43" s="2">
        <v>31</v>
      </c>
      <c r="C43" s="2" t="s">
        <v>9</v>
      </c>
      <c r="D43" s="2">
        <v>51665</v>
      </c>
      <c r="E43" s="2">
        <v>7</v>
      </c>
      <c r="F43" s="2">
        <v>5</v>
      </c>
      <c r="G43" s="2">
        <v>5</v>
      </c>
      <c r="H43" s="2">
        <v>2</v>
      </c>
      <c r="I43" s="2" t="s">
        <v>20</v>
      </c>
      <c r="J43" s="2" t="s">
        <v>14</v>
      </c>
    </row>
    <row r="44" spans="1:10" x14ac:dyDescent="0.3">
      <c r="A44" s="2">
        <v>143</v>
      </c>
      <c r="B44" s="2">
        <v>24</v>
      </c>
      <c r="C44" s="2" t="s">
        <v>16</v>
      </c>
      <c r="D44" s="2">
        <v>77730</v>
      </c>
      <c r="E44" s="2">
        <v>7</v>
      </c>
      <c r="F44" s="2">
        <v>5</v>
      </c>
      <c r="G44" s="2">
        <v>1</v>
      </c>
      <c r="H44" s="2">
        <v>1</v>
      </c>
      <c r="I44" s="2" t="s">
        <v>17</v>
      </c>
      <c r="J44" s="2" t="s">
        <v>11</v>
      </c>
    </row>
    <row r="45" spans="1:10" x14ac:dyDescent="0.3">
      <c r="A45" s="2">
        <v>144</v>
      </c>
      <c r="B45" s="2">
        <v>40</v>
      </c>
      <c r="C45" s="2" t="s">
        <v>12</v>
      </c>
      <c r="D45" s="2">
        <v>75443</v>
      </c>
      <c r="E45" s="2">
        <v>10</v>
      </c>
      <c r="F45" s="2">
        <v>2</v>
      </c>
      <c r="G45" s="2">
        <v>3</v>
      </c>
      <c r="H45" s="2">
        <v>8</v>
      </c>
      <c r="I45" s="2" t="s">
        <v>15</v>
      </c>
      <c r="J45" s="2" t="s">
        <v>11</v>
      </c>
    </row>
    <row r="46" spans="1:10" x14ac:dyDescent="0.3">
      <c r="A46" s="2">
        <v>145</v>
      </c>
      <c r="B46" s="2">
        <v>41</v>
      </c>
      <c r="C46" s="2" t="s">
        <v>18</v>
      </c>
      <c r="D46" s="2">
        <v>71000</v>
      </c>
      <c r="E46" s="2">
        <v>8</v>
      </c>
      <c r="F46" s="2">
        <v>4</v>
      </c>
      <c r="G46" s="2">
        <v>2</v>
      </c>
      <c r="H46" s="2">
        <v>2</v>
      </c>
      <c r="I46" s="2" t="s">
        <v>19</v>
      </c>
      <c r="J46" s="2" t="s">
        <v>11</v>
      </c>
    </row>
    <row r="47" spans="1:10" x14ac:dyDescent="0.3">
      <c r="A47" s="2">
        <v>146</v>
      </c>
      <c r="B47" s="2">
        <v>34</v>
      </c>
      <c r="C47" s="2" t="s">
        <v>12</v>
      </c>
      <c r="D47" s="2">
        <v>34803</v>
      </c>
      <c r="E47" s="2">
        <v>9</v>
      </c>
      <c r="F47" s="2">
        <v>3</v>
      </c>
      <c r="G47" s="2">
        <v>1</v>
      </c>
      <c r="H47" s="2">
        <v>5</v>
      </c>
      <c r="I47" s="2" t="s">
        <v>13</v>
      </c>
      <c r="J47" s="2" t="s">
        <v>11</v>
      </c>
    </row>
    <row r="48" spans="1:10" x14ac:dyDescent="0.3">
      <c r="A48" s="2">
        <v>147</v>
      </c>
      <c r="B48" s="2">
        <v>38</v>
      </c>
      <c r="C48" s="2" t="s">
        <v>21</v>
      </c>
      <c r="D48" s="2">
        <v>85883</v>
      </c>
      <c r="E48" s="2">
        <v>10</v>
      </c>
      <c r="F48" s="2">
        <v>2</v>
      </c>
      <c r="G48" s="2">
        <v>5</v>
      </c>
      <c r="H48" s="2">
        <v>3</v>
      </c>
      <c r="I48" s="2" t="s">
        <v>22</v>
      </c>
      <c r="J48" s="2" t="s">
        <v>11</v>
      </c>
    </row>
    <row r="49" spans="1:10" x14ac:dyDescent="0.3">
      <c r="A49" s="2">
        <v>148</v>
      </c>
      <c r="B49" s="2">
        <v>27</v>
      </c>
      <c r="C49" s="2" t="s">
        <v>16</v>
      </c>
      <c r="D49" s="2">
        <v>52568</v>
      </c>
      <c r="E49" s="2">
        <v>6</v>
      </c>
      <c r="F49" s="2">
        <v>5</v>
      </c>
      <c r="G49" s="2">
        <v>3</v>
      </c>
      <c r="H49" s="2">
        <v>2</v>
      </c>
      <c r="I49" s="2" t="s">
        <v>17</v>
      </c>
      <c r="J49" s="2" t="s">
        <v>14</v>
      </c>
    </row>
    <row r="50" spans="1:10" x14ac:dyDescent="0.3">
      <c r="A50" s="2">
        <v>149</v>
      </c>
      <c r="B50" s="2">
        <v>44</v>
      </c>
      <c r="C50" s="2" t="s">
        <v>12</v>
      </c>
      <c r="D50" s="2">
        <v>54205</v>
      </c>
      <c r="E50" s="2">
        <v>8</v>
      </c>
      <c r="F50" s="2">
        <v>4</v>
      </c>
      <c r="G50" s="2">
        <v>3</v>
      </c>
      <c r="H50" s="2">
        <v>0</v>
      </c>
      <c r="I50" s="2" t="s">
        <v>13</v>
      </c>
      <c r="J50" s="2" t="s">
        <v>14</v>
      </c>
    </row>
    <row r="51" spans="1:10" x14ac:dyDescent="0.3">
      <c r="A51" s="2">
        <v>150</v>
      </c>
      <c r="B51" s="2">
        <v>37</v>
      </c>
      <c r="C51" s="2" t="s">
        <v>9</v>
      </c>
      <c r="D51" s="2">
        <v>88803</v>
      </c>
      <c r="E51" s="2">
        <v>9</v>
      </c>
      <c r="F51" s="2">
        <v>3</v>
      </c>
      <c r="G51" s="2">
        <v>3</v>
      </c>
      <c r="H51" s="2">
        <v>3</v>
      </c>
      <c r="I51" s="2" t="s">
        <v>20</v>
      </c>
      <c r="J51" s="2" t="s">
        <v>14</v>
      </c>
    </row>
    <row r="52" spans="1:10" x14ac:dyDescent="0.3">
      <c r="A52" s="2">
        <v>151</v>
      </c>
      <c r="B52" s="2">
        <v>32</v>
      </c>
      <c r="C52" s="2" t="s">
        <v>18</v>
      </c>
      <c r="D52" s="2">
        <v>39840</v>
      </c>
      <c r="E52" s="2">
        <v>9</v>
      </c>
      <c r="F52" s="2">
        <v>3</v>
      </c>
      <c r="G52" s="2">
        <v>2</v>
      </c>
      <c r="H52" s="2">
        <v>2</v>
      </c>
      <c r="I52" s="2" t="s">
        <v>19</v>
      </c>
      <c r="J52" s="2" t="s">
        <v>11</v>
      </c>
    </row>
    <row r="53" spans="1:10" x14ac:dyDescent="0.3">
      <c r="A53" s="2">
        <v>152</v>
      </c>
      <c r="B53" s="2">
        <v>38</v>
      </c>
      <c r="C53" s="2" t="s">
        <v>18</v>
      </c>
      <c r="D53" s="2">
        <v>50622</v>
      </c>
      <c r="E53" s="2">
        <v>7</v>
      </c>
      <c r="F53" s="2">
        <v>5</v>
      </c>
      <c r="G53" s="2">
        <v>3</v>
      </c>
      <c r="H53" s="2">
        <v>1</v>
      </c>
      <c r="I53" s="2" t="s">
        <v>19</v>
      </c>
      <c r="J53" s="2" t="s">
        <v>14</v>
      </c>
    </row>
    <row r="54" spans="1:10" x14ac:dyDescent="0.3">
      <c r="A54" s="2">
        <v>153</v>
      </c>
      <c r="B54" s="2">
        <v>27</v>
      </c>
      <c r="C54" s="2" t="s">
        <v>18</v>
      </c>
      <c r="D54" s="2">
        <v>58380</v>
      </c>
      <c r="E54" s="2">
        <v>7</v>
      </c>
      <c r="F54" s="2">
        <v>5</v>
      </c>
      <c r="G54" s="2">
        <v>2</v>
      </c>
      <c r="H54" s="2">
        <v>8</v>
      </c>
      <c r="I54" s="2" t="s">
        <v>19</v>
      </c>
      <c r="J54" s="2" t="s">
        <v>11</v>
      </c>
    </row>
    <row r="55" spans="1:10" x14ac:dyDescent="0.3">
      <c r="A55" s="2">
        <v>154</v>
      </c>
      <c r="B55" s="2">
        <v>26</v>
      </c>
      <c r="C55" s="2" t="s">
        <v>18</v>
      </c>
      <c r="D55" s="2">
        <v>34885</v>
      </c>
      <c r="E55" s="2">
        <v>8</v>
      </c>
      <c r="F55" s="2">
        <v>4</v>
      </c>
      <c r="G55" s="2">
        <v>1</v>
      </c>
      <c r="H55" s="2">
        <v>10</v>
      </c>
      <c r="I55" s="2" t="s">
        <v>19</v>
      </c>
      <c r="J55" s="2" t="s">
        <v>11</v>
      </c>
    </row>
    <row r="56" spans="1:10" x14ac:dyDescent="0.3">
      <c r="A56" s="2">
        <v>155</v>
      </c>
      <c r="B56" s="2">
        <v>37</v>
      </c>
      <c r="C56" s="2" t="s">
        <v>12</v>
      </c>
      <c r="D56" s="2">
        <v>46602</v>
      </c>
      <c r="E56" s="2">
        <v>7</v>
      </c>
      <c r="F56" s="2">
        <v>5</v>
      </c>
      <c r="G56" s="2">
        <v>4</v>
      </c>
      <c r="H56" s="2">
        <v>0</v>
      </c>
      <c r="I56" s="2" t="s">
        <v>13</v>
      </c>
      <c r="J56" s="2" t="s">
        <v>14</v>
      </c>
    </row>
    <row r="57" spans="1:10" x14ac:dyDescent="0.3">
      <c r="A57" s="2">
        <v>156</v>
      </c>
      <c r="B57" s="2">
        <v>30</v>
      </c>
      <c r="C57" s="2" t="s">
        <v>12</v>
      </c>
      <c r="D57" s="2">
        <v>38258</v>
      </c>
      <c r="E57" s="2">
        <v>10</v>
      </c>
      <c r="F57" s="2">
        <v>2</v>
      </c>
      <c r="G57" s="2">
        <v>1</v>
      </c>
      <c r="H57" s="2">
        <v>8</v>
      </c>
      <c r="I57" s="2" t="s">
        <v>15</v>
      </c>
      <c r="J57" s="2" t="s">
        <v>11</v>
      </c>
    </row>
    <row r="58" spans="1:10" x14ac:dyDescent="0.3">
      <c r="A58" s="2">
        <v>157</v>
      </c>
      <c r="B58" s="2">
        <v>29</v>
      </c>
      <c r="C58" s="2" t="s">
        <v>16</v>
      </c>
      <c r="D58" s="2">
        <v>65229</v>
      </c>
      <c r="E58" s="2">
        <v>8</v>
      </c>
      <c r="F58" s="2">
        <v>4</v>
      </c>
      <c r="G58" s="2">
        <v>2</v>
      </c>
      <c r="H58" s="2">
        <v>5</v>
      </c>
      <c r="I58" s="2" t="s">
        <v>17</v>
      </c>
      <c r="J58" s="2" t="s">
        <v>11</v>
      </c>
    </row>
    <row r="59" spans="1:10" x14ac:dyDescent="0.3">
      <c r="A59" s="2">
        <v>158</v>
      </c>
      <c r="B59" s="2">
        <v>35</v>
      </c>
      <c r="C59" s="2" t="s">
        <v>9</v>
      </c>
      <c r="D59" s="2">
        <v>75422</v>
      </c>
      <c r="E59" s="2">
        <v>8</v>
      </c>
      <c r="F59" s="2">
        <v>4</v>
      </c>
      <c r="G59" s="2">
        <v>1</v>
      </c>
      <c r="H59" s="2">
        <v>5</v>
      </c>
      <c r="I59" s="2" t="s">
        <v>20</v>
      </c>
      <c r="J59" s="2" t="s">
        <v>11</v>
      </c>
    </row>
    <row r="60" spans="1:10" x14ac:dyDescent="0.3">
      <c r="A60" s="2">
        <v>159</v>
      </c>
      <c r="B60" s="2">
        <v>44</v>
      </c>
      <c r="C60" s="2" t="s">
        <v>12</v>
      </c>
      <c r="D60" s="2">
        <v>46736</v>
      </c>
      <c r="E60" s="2">
        <v>9</v>
      </c>
      <c r="F60" s="2">
        <v>3</v>
      </c>
      <c r="G60" s="2">
        <v>2</v>
      </c>
      <c r="H60" s="2">
        <v>8</v>
      </c>
      <c r="I60" s="2" t="s">
        <v>15</v>
      </c>
      <c r="J60" s="2" t="s">
        <v>11</v>
      </c>
    </row>
    <row r="61" spans="1:10" x14ac:dyDescent="0.3">
      <c r="A61" s="2">
        <v>160</v>
      </c>
      <c r="B61" s="2">
        <v>30</v>
      </c>
      <c r="C61" s="2" t="s">
        <v>12</v>
      </c>
      <c r="D61" s="2">
        <v>54720</v>
      </c>
      <c r="E61" s="2">
        <v>10</v>
      </c>
      <c r="F61" s="2">
        <v>2</v>
      </c>
      <c r="G61" s="2">
        <v>5</v>
      </c>
      <c r="H61" s="2">
        <v>0</v>
      </c>
      <c r="I61" s="2" t="s">
        <v>13</v>
      </c>
      <c r="J61" s="2" t="s">
        <v>11</v>
      </c>
    </row>
    <row r="62" spans="1:10" x14ac:dyDescent="0.3">
      <c r="A62" s="2">
        <v>161</v>
      </c>
      <c r="B62" s="2">
        <v>36</v>
      </c>
      <c r="C62" s="2" t="s">
        <v>9</v>
      </c>
      <c r="D62" s="2">
        <v>74964</v>
      </c>
      <c r="E62" s="2">
        <v>8</v>
      </c>
      <c r="F62" s="2">
        <v>4</v>
      </c>
      <c r="G62" s="2">
        <v>3</v>
      </c>
      <c r="H62" s="2">
        <v>1</v>
      </c>
      <c r="I62" s="2" t="s">
        <v>10</v>
      </c>
      <c r="J62" s="2" t="s">
        <v>14</v>
      </c>
    </row>
    <row r="63" spans="1:10" x14ac:dyDescent="0.3">
      <c r="A63" s="2">
        <v>162</v>
      </c>
      <c r="B63" s="2">
        <v>45</v>
      </c>
      <c r="C63" s="2" t="s">
        <v>12</v>
      </c>
      <c r="D63" s="2">
        <v>83560</v>
      </c>
      <c r="E63" s="2">
        <v>10</v>
      </c>
      <c r="F63" s="2">
        <v>2</v>
      </c>
      <c r="G63" s="2">
        <v>1</v>
      </c>
      <c r="H63" s="2">
        <v>2</v>
      </c>
      <c r="I63" s="2" t="s">
        <v>15</v>
      </c>
      <c r="J63" s="2" t="s">
        <v>11</v>
      </c>
    </row>
    <row r="64" spans="1:10" x14ac:dyDescent="0.3">
      <c r="A64" s="2">
        <v>163</v>
      </c>
      <c r="B64" s="2">
        <v>37</v>
      </c>
      <c r="C64" s="2" t="s">
        <v>16</v>
      </c>
      <c r="D64" s="2">
        <v>46373</v>
      </c>
      <c r="E64" s="2">
        <v>10</v>
      </c>
      <c r="F64" s="2">
        <v>2</v>
      </c>
      <c r="G64" s="2">
        <v>4</v>
      </c>
      <c r="H64" s="2">
        <v>4</v>
      </c>
      <c r="I64" s="2" t="s">
        <v>17</v>
      </c>
      <c r="J64" s="2" t="s">
        <v>11</v>
      </c>
    </row>
    <row r="65" spans="1:10" x14ac:dyDescent="0.3">
      <c r="A65" s="2">
        <v>164</v>
      </c>
      <c r="B65" s="2">
        <v>34</v>
      </c>
      <c r="C65" s="2" t="s">
        <v>12</v>
      </c>
      <c r="D65" s="2">
        <v>50738</v>
      </c>
      <c r="E65" s="2">
        <v>9</v>
      </c>
      <c r="F65" s="2">
        <v>3</v>
      </c>
      <c r="G65" s="2">
        <v>5</v>
      </c>
      <c r="H65" s="2">
        <v>1</v>
      </c>
      <c r="I65" s="2" t="s">
        <v>13</v>
      </c>
      <c r="J65" s="2" t="s">
        <v>14</v>
      </c>
    </row>
    <row r="66" spans="1:10" x14ac:dyDescent="0.3">
      <c r="A66" s="2">
        <v>165</v>
      </c>
      <c r="B66" s="2">
        <v>29</v>
      </c>
      <c r="C66" s="2" t="s">
        <v>18</v>
      </c>
      <c r="D66" s="2">
        <v>30634</v>
      </c>
      <c r="E66" s="2">
        <v>9</v>
      </c>
      <c r="F66" s="2">
        <v>3</v>
      </c>
      <c r="G66" s="2">
        <v>5</v>
      </c>
      <c r="H66" s="2">
        <v>9</v>
      </c>
      <c r="I66" s="2" t="s">
        <v>19</v>
      </c>
      <c r="J66" s="2" t="s">
        <v>11</v>
      </c>
    </row>
    <row r="67" spans="1:10" x14ac:dyDescent="0.3">
      <c r="A67" s="2">
        <v>166</v>
      </c>
      <c r="B67" s="2">
        <v>41</v>
      </c>
      <c r="C67" s="2" t="s">
        <v>18</v>
      </c>
      <c r="D67" s="2">
        <v>83732</v>
      </c>
      <c r="E67" s="2">
        <v>6</v>
      </c>
      <c r="F67" s="2">
        <v>5</v>
      </c>
      <c r="G67" s="2">
        <v>4</v>
      </c>
      <c r="H67" s="2">
        <v>6</v>
      </c>
      <c r="I67" s="2" t="s">
        <v>19</v>
      </c>
      <c r="J67" s="2" t="s">
        <v>14</v>
      </c>
    </row>
    <row r="68" spans="1:10" x14ac:dyDescent="0.3">
      <c r="A68" s="2">
        <v>167</v>
      </c>
      <c r="B68" s="2">
        <v>37</v>
      </c>
      <c r="C68" s="2" t="s">
        <v>12</v>
      </c>
      <c r="D68" s="2">
        <v>79367</v>
      </c>
      <c r="E68" s="2">
        <v>7</v>
      </c>
      <c r="F68" s="2">
        <v>5</v>
      </c>
      <c r="G68" s="2">
        <v>2</v>
      </c>
      <c r="H68" s="2">
        <v>4</v>
      </c>
      <c r="I68" s="2" t="s">
        <v>13</v>
      </c>
      <c r="J68" s="2" t="s">
        <v>11</v>
      </c>
    </row>
    <row r="69" spans="1:10" x14ac:dyDescent="0.3">
      <c r="A69" s="2">
        <v>168</v>
      </c>
      <c r="B69" s="2">
        <v>32</v>
      </c>
      <c r="C69" s="2" t="s">
        <v>18</v>
      </c>
      <c r="D69" s="2">
        <v>73218</v>
      </c>
      <c r="E69" s="2">
        <v>6</v>
      </c>
      <c r="F69" s="2">
        <v>5</v>
      </c>
      <c r="G69" s="2">
        <v>5</v>
      </c>
      <c r="H69" s="2">
        <v>2</v>
      </c>
      <c r="I69" s="2" t="s">
        <v>19</v>
      </c>
      <c r="J69" s="2" t="s">
        <v>14</v>
      </c>
    </row>
    <row r="70" spans="1:10" x14ac:dyDescent="0.3">
      <c r="A70" s="2">
        <v>169</v>
      </c>
      <c r="B70" s="2">
        <v>31</v>
      </c>
      <c r="C70" s="2" t="s">
        <v>12</v>
      </c>
      <c r="D70" s="2">
        <v>36153</v>
      </c>
      <c r="E70" s="2">
        <v>9</v>
      </c>
      <c r="F70" s="2">
        <v>3</v>
      </c>
      <c r="G70" s="2">
        <v>4</v>
      </c>
      <c r="H70" s="2">
        <v>7</v>
      </c>
      <c r="I70" s="2" t="s">
        <v>15</v>
      </c>
      <c r="J70" s="2" t="s">
        <v>11</v>
      </c>
    </row>
    <row r="71" spans="1:10" x14ac:dyDescent="0.3">
      <c r="A71" s="2">
        <v>170</v>
      </c>
      <c r="B71" s="2">
        <v>23</v>
      </c>
      <c r="C71" s="2" t="s">
        <v>18</v>
      </c>
      <c r="D71" s="2">
        <v>88247</v>
      </c>
      <c r="E71" s="2">
        <v>10</v>
      </c>
      <c r="F71" s="2">
        <v>2</v>
      </c>
      <c r="G71" s="2">
        <v>3</v>
      </c>
      <c r="H71" s="2">
        <v>0</v>
      </c>
      <c r="I71" s="2" t="s">
        <v>19</v>
      </c>
      <c r="J71" s="2" t="s">
        <v>11</v>
      </c>
    </row>
    <row r="72" spans="1:10" x14ac:dyDescent="0.3">
      <c r="A72" s="2">
        <v>171</v>
      </c>
      <c r="B72" s="2">
        <v>44</v>
      </c>
      <c r="C72" s="2" t="s">
        <v>16</v>
      </c>
      <c r="D72" s="2">
        <v>29588</v>
      </c>
      <c r="E72" s="2">
        <v>10</v>
      </c>
      <c r="F72" s="2">
        <v>2</v>
      </c>
      <c r="G72" s="2">
        <v>2</v>
      </c>
      <c r="H72" s="2">
        <v>7</v>
      </c>
      <c r="I72" s="2" t="s">
        <v>17</v>
      </c>
      <c r="J72" s="2" t="s">
        <v>11</v>
      </c>
    </row>
    <row r="73" spans="1:10" x14ac:dyDescent="0.3">
      <c r="A73" s="2">
        <v>172</v>
      </c>
      <c r="B73" s="2">
        <v>38</v>
      </c>
      <c r="C73" s="2" t="s">
        <v>16</v>
      </c>
      <c r="D73" s="2">
        <v>35940</v>
      </c>
      <c r="E73" s="2">
        <v>8</v>
      </c>
      <c r="F73" s="2">
        <v>4</v>
      </c>
      <c r="G73" s="2">
        <v>1</v>
      </c>
      <c r="H73" s="2">
        <v>7</v>
      </c>
      <c r="I73" s="2" t="s">
        <v>17</v>
      </c>
      <c r="J73" s="2" t="s">
        <v>11</v>
      </c>
    </row>
    <row r="74" spans="1:10" x14ac:dyDescent="0.3">
      <c r="A74" s="2">
        <v>173</v>
      </c>
      <c r="B74" s="2">
        <v>38</v>
      </c>
      <c r="C74" s="2" t="s">
        <v>18</v>
      </c>
      <c r="D74" s="2">
        <v>76264</v>
      </c>
      <c r="E74" s="2">
        <v>6</v>
      </c>
      <c r="F74" s="2">
        <v>5</v>
      </c>
      <c r="G74" s="2">
        <v>2</v>
      </c>
      <c r="H74" s="2">
        <v>1</v>
      </c>
      <c r="I74" s="2" t="s">
        <v>19</v>
      </c>
      <c r="J74" s="2" t="s">
        <v>11</v>
      </c>
    </row>
    <row r="75" spans="1:10" x14ac:dyDescent="0.3">
      <c r="A75" s="2">
        <v>174</v>
      </c>
      <c r="B75" s="2">
        <v>37</v>
      </c>
      <c r="C75" s="2" t="s">
        <v>9</v>
      </c>
      <c r="D75" s="2">
        <v>57657</v>
      </c>
      <c r="E75" s="2">
        <v>6</v>
      </c>
      <c r="F75" s="2">
        <v>5</v>
      </c>
      <c r="G75" s="2">
        <v>2</v>
      </c>
      <c r="H75" s="2">
        <v>6</v>
      </c>
      <c r="I75" s="2" t="s">
        <v>10</v>
      </c>
      <c r="J75" s="2" t="s">
        <v>11</v>
      </c>
    </row>
    <row r="76" spans="1:10" x14ac:dyDescent="0.3">
      <c r="A76" s="2">
        <v>175</v>
      </c>
      <c r="B76" s="2">
        <v>39</v>
      </c>
      <c r="C76" s="2" t="s">
        <v>21</v>
      </c>
      <c r="D76" s="2">
        <v>50522</v>
      </c>
      <c r="E76" s="2">
        <v>10</v>
      </c>
      <c r="F76" s="2">
        <v>2</v>
      </c>
      <c r="G76" s="2">
        <v>5</v>
      </c>
      <c r="H76" s="2">
        <v>9</v>
      </c>
      <c r="I76" s="2" t="s">
        <v>22</v>
      </c>
      <c r="J76" s="2" t="s">
        <v>11</v>
      </c>
    </row>
    <row r="77" spans="1:10" x14ac:dyDescent="0.3">
      <c r="A77" s="2">
        <v>176</v>
      </c>
      <c r="B77" s="2">
        <v>38</v>
      </c>
      <c r="C77" s="2" t="s">
        <v>9</v>
      </c>
      <c r="D77" s="2">
        <v>25530</v>
      </c>
      <c r="E77" s="2">
        <v>10</v>
      </c>
      <c r="F77" s="2">
        <v>2</v>
      </c>
      <c r="G77" s="2">
        <v>1</v>
      </c>
      <c r="H77" s="2">
        <v>2</v>
      </c>
      <c r="I77" s="2" t="s">
        <v>10</v>
      </c>
      <c r="J77" s="2" t="s">
        <v>11</v>
      </c>
    </row>
    <row r="78" spans="1:10" x14ac:dyDescent="0.3">
      <c r="A78" s="2">
        <v>177</v>
      </c>
      <c r="B78" s="2">
        <v>45</v>
      </c>
      <c r="C78" s="2" t="s">
        <v>21</v>
      </c>
      <c r="D78" s="2">
        <v>35066</v>
      </c>
      <c r="E78" s="2">
        <v>9</v>
      </c>
      <c r="F78" s="2">
        <v>3</v>
      </c>
      <c r="G78" s="2">
        <v>1</v>
      </c>
      <c r="H78" s="2">
        <v>7</v>
      </c>
      <c r="I78" s="2" t="s">
        <v>22</v>
      </c>
      <c r="J78" s="2" t="s">
        <v>11</v>
      </c>
    </row>
    <row r="79" spans="1:10" x14ac:dyDescent="0.3">
      <c r="A79" s="2">
        <v>178</v>
      </c>
      <c r="B79" s="2">
        <v>45</v>
      </c>
      <c r="C79" s="2" t="s">
        <v>16</v>
      </c>
      <c r="D79" s="2">
        <v>47596</v>
      </c>
      <c r="E79" s="2">
        <v>8</v>
      </c>
      <c r="F79" s="2">
        <v>4</v>
      </c>
      <c r="G79" s="2">
        <v>2</v>
      </c>
      <c r="H79" s="2">
        <v>10</v>
      </c>
      <c r="I79" s="2" t="s">
        <v>17</v>
      </c>
      <c r="J79" s="2" t="s">
        <v>11</v>
      </c>
    </row>
    <row r="80" spans="1:10" x14ac:dyDescent="0.3">
      <c r="A80" s="2">
        <v>179</v>
      </c>
      <c r="B80" s="2">
        <v>32</v>
      </c>
      <c r="C80" s="2" t="s">
        <v>9</v>
      </c>
      <c r="D80" s="2">
        <v>26418</v>
      </c>
      <c r="E80" s="2">
        <v>6</v>
      </c>
      <c r="F80" s="2">
        <v>5</v>
      </c>
      <c r="G80" s="2">
        <v>4</v>
      </c>
      <c r="H80" s="2">
        <v>5</v>
      </c>
      <c r="I80" s="2" t="s">
        <v>20</v>
      </c>
      <c r="J80" s="2" t="s">
        <v>11</v>
      </c>
    </row>
    <row r="81" spans="1:10" x14ac:dyDescent="0.3">
      <c r="A81" s="2">
        <v>180</v>
      </c>
      <c r="B81" s="2">
        <v>28</v>
      </c>
      <c r="C81" s="2" t="s">
        <v>18</v>
      </c>
      <c r="D81" s="2">
        <v>61491</v>
      </c>
      <c r="E81" s="2">
        <v>8</v>
      </c>
      <c r="F81" s="2">
        <v>4</v>
      </c>
      <c r="G81" s="2">
        <v>4</v>
      </c>
      <c r="H81" s="2">
        <v>2</v>
      </c>
      <c r="I81" s="2" t="s">
        <v>19</v>
      </c>
      <c r="J81" s="2" t="s">
        <v>14</v>
      </c>
    </row>
    <row r="82" spans="1:10" x14ac:dyDescent="0.3">
      <c r="A82" s="2">
        <v>181</v>
      </c>
      <c r="B82" s="2">
        <v>41</v>
      </c>
      <c r="C82" s="2" t="s">
        <v>9</v>
      </c>
      <c r="D82" s="2">
        <v>44332</v>
      </c>
      <c r="E82" s="2">
        <v>8</v>
      </c>
      <c r="F82" s="2">
        <v>4</v>
      </c>
      <c r="G82" s="2">
        <v>3</v>
      </c>
      <c r="H82" s="2">
        <v>7</v>
      </c>
      <c r="I82" s="2" t="s">
        <v>20</v>
      </c>
      <c r="J82" s="2" t="s">
        <v>14</v>
      </c>
    </row>
    <row r="83" spans="1:10" x14ac:dyDescent="0.3">
      <c r="A83" s="2">
        <v>182</v>
      </c>
      <c r="B83" s="2">
        <v>32</v>
      </c>
      <c r="C83" s="2" t="s">
        <v>9</v>
      </c>
      <c r="D83" s="2">
        <v>76164</v>
      </c>
      <c r="E83" s="2">
        <v>7</v>
      </c>
      <c r="F83" s="2">
        <v>5</v>
      </c>
      <c r="G83" s="2">
        <v>1</v>
      </c>
      <c r="H83" s="2">
        <v>8</v>
      </c>
      <c r="I83" s="2" t="s">
        <v>20</v>
      </c>
      <c r="J83" s="2" t="s">
        <v>11</v>
      </c>
    </row>
    <row r="84" spans="1:10" x14ac:dyDescent="0.3">
      <c r="A84" s="2">
        <v>183</v>
      </c>
      <c r="B84" s="2">
        <v>45</v>
      </c>
      <c r="C84" s="2" t="s">
        <v>12</v>
      </c>
      <c r="D84" s="2">
        <v>29663</v>
      </c>
      <c r="E84" s="2">
        <v>7</v>
      </c>
      <c r="F84" s="2">
        <v>5</v>
      </c>
      <c r="G84" s="2">
        <v>3</v>
      </c>
      <c r="H84" s="2">
        <v>6</v>
      </c>
      <c r="I84" s="2" t="s">
        <v>13</v>
      </c>
      <c r="J84" s="2" t="s">
        <v>11</v>
      </c>
    </row>
    <row r="85" spans="1:10" x14ac:dyDescent="0.3">
      <c r="A85" s="2">
        <v>184</v>
      </c>
      <c r="B85" s="2">
        <v>37</v>
      </c>
      <c r="C85" s="2" t="s">
        <v>21</v>
      </c>
      <c r="D85" s="2">
        <v>56215</v>
      </c>
      <c r="E85" s="2">
        <v>6</v>
      </c>
      <c r="F85" s="2">
        <v>5</v>
      </c>
      <c r="G85" s="2">
        <v>1</v>
      </c>
      <c r="H85" s="2">
        <v>1</v>
      </c>
      <c r="I85" s="2" t="s">
        <v>10</v>
      </c>
      <c r="J85" s="2" t="s">
        <v>11</v>
      </c>
    </row>
    <row r="86" spans="1:10" x14ac:dyDescent="0.3">
      <c r="A86" s="2">
        <v>185</v>
      </c>
      <c r="B86" s="2">
        <v>41</v>
      </c>
      <c r="C86" s="2" t="s">
        <v>18</v>
      </c>
      <c r="D86" s="2">
        <v>74507</v>
      </c>
      <c r="E86" s="2">
        <v>9</v>
      </c>
      <c r="F86" s="2">
        <v>3</v>
      </c>
      <c r="G86" s="2">
        <v>2</v>
      </c>
      <c r="H86" s="2">
        <v>10</v>
      </c>
      <c r="I86" s="2" t="s">
        <v>19</v>
      </c>
      <c r="J86" s="2" t="s">
        <v>11</v>
      </c>
    </row>
    <row r="87" spans="1:10" x14ac:dyDescent="0.3">
      <c r="A87" s="2">
        <v>186</v>
      </c>
      <c r="B87" s="2">
        <v>33</v>
      </c>
      <c r="C87" s="2" t="s">
        <v>21</v>
      </c>
      <c r="D87" s="2">
        <v>82805</v>
      </c>
      <c r="E87" s="2">
        <v>6</v>
      </c>
      <c r="F87" s="2">
        <v>5</v>
      </c>
      <c r="G87" s="2">
        <v>3</v>
      </c>
      <c r="H87" s="2">
        <v>2</v>
      </c>
      <c r="I87" s="2" t="s">
        <v>22</v>
      </c>
      <c r="J87" s="2" t="s">
        <v>14</v>
      </c>
    </row>
    <row r="88" spans="1:10" x14ac:dyDescent="0.3">
      <c r="A88" s="2">
        <v>187</v>
      </c>
      <c r="B88" s="2">
        <v>38</v>
      </c>
      <c r="C88" s="2" t="s">
        <v>21</v>
      </c>
      <c r="D88" s="2">
        <v>56130</v>
      </c>
      <c r="E88" s="2">
        <v>7</v>
      </c>
      <c r="F88" s="2">
        <v>5</v>
      </c>
      <c r="G88" s="2">
        <v>1</v>
      </c>
      <c r="H88" s="2">
        <v>3</v>
      </c>
      <c r="I88" s="2" t="s">
        <v>10</v>
      </c>
      <c r="J88" s="2" t="s">
        <v>11</v>
      </c>
    </row>
    <row r="89" spans="1:10" x14ac:dyDescent="0.3">
      <c r="A89" s="2">
        <v>188</v>
      </c>
      <c r="B89" s="2">
        <v>31</v>
      </c>
      <c r="C89" s="2" t="s">
        <v>21</v>
      </c>
      <c r="D89" s="2">
        <v>37148</v>
      </c>
      <c r="E89" s="2">
        <v>10</v>
      </c>
      <c r="F89" s="2">
        <v>2</v>
      </c>
      <c r="G89" s="2">
        <v>4</v>
      </c>
      <c r="H89" s="2">
        <v>8</v>
      </c>
      <c r="I89" s="2" t="s">
        <v>22</v>
      </c>
      <c r="J89" s="2" t="s">
        <v>11</v>
      </c>
    </row>
    <row r="90" spans="1:10" x14ac:dyDescent="0.3">
      <c r="A90" s="2">
        <v>189</v>
      </c>
      <c r="B90" s="2">
        <v>22</v>
      </c>
      <c r="C90" s="2" t="s">
        <v>9</v>
      </c>
      <c r="D90" s="2">
        <v>66270</v>
      </c>
      <c r="E90" s="2">
        <v>8</v>
      </c>
      <c r="F90" s="2">
        <v>4</v>
      </c>
      <c r="G90" s="2">
        <v>1</v>
      </c>
      <c r="H90" s="2">
        <v>10</v>
      </c>
      <c r="I90" s="2" t="s">
        <v>10</v>
      </c>
      <c r="J90" s="2" t="s">
        <v>11</v>
      </c>
    </row>
    <row r="91" spans="1:10" x14ac:dyDescent="0.3">
      <c r="A91" s="2">
        <v>190</v>
      </c>
      <c r="B91" s="2">
        <v>39</v>
      </c>
      <c r="C91" s="2" t="s">
        <v>21</v>
      </c>
      <c r="D91" s="2">
        <v>52522</v>
      </c>
      <c r="E91" s="2">
        <v>8</v>
      </c>
      <c r="F91" s="2">
        <v>4</v>
      </c>
      <c r="G91" s="2">
        <v>1</v>
      </c>
      <c r="H91" s="2">
        <v>9</v>
      </c>
      <c r="I91" s="2" t="s">
        <v>22</v>
      </c>
      <c r="J91" s="2" t="s">
        <v>11</v>
      </c>
    </row>
    <row r="92" spans="1:10" x14ac:dyDescent="0.3">
      <c r="A92" s="2">
        <v>191</v>
      </c>
      <c r="B92" s="2">
        <v>27</v>
      </c>
      <c r="C92" s="2" t="s">
        <v>18</v>
      </c>
      <c r="D92" s="2">
        <v>55983</v>
      </c>
      <c r="E92" s="2">
        <v>8</v>
      </c>
      <c r="F92" s="2">
        <v>4</v>
      </c>
      <c r="G92" s="2">
        <v>4</v>
      </c>
      <c r="H92" s="2">
        <v>7</v>
      </c>
      <c r="I92" s="2" t="s">
        <v>19</v>
      </c>
      <c r="J92" s="2" t="s">
        <v>14</v>
      </c>
    </row>
    <row r="93" spans="1:10" x14ac:dyDescent="0.3">
      <c r="A93" s="2">
        <v>192</v>
      </c>
      <c r="B93" s="2">
        <v>32</v>
      </c>
      <c r="C93" s="2" t="s">
        <v>12</v>
      </c>
      <c r="D93" s="2">
        <v>40589</v>
      </c>
      <c r="E93" s="2">
        <v>9</v>
      </c>
      <c r="F93" s="2">
        <v>3</v>
      </c>
      <c r="G93" s="2">
        <v>2</v>
      </c>
      <c r="H93" s="2">
        <v>4</v>
      </c>
      <c r="I93" s="2" t="s">
        <v>13</v>
      </c>
      <c r="J93" s="2" t="s">
        <v>11</v>
      </c>
    </row>
    <row r="94" spans="1:10" x14ac:dyDescent="0.3">
      <c r="A94" s="2">
        <v>193</v>
      </c>
      <c r="B94" s="2">
        <v>41</v>
      </c>
      <c r="C94" s="2" t="s">
        <v>21</v>
      </c>
      <c r="D94" s="2">
        <v>56060</v>
      </c>
      <c r="E94" s="2">
        <v>8</v>
      </c>
      <c r="F94" s="2">
        <v>4</v>
      </c>
      <c r="G94" s="2">
        <v>3</v>
      </c>
      <c r="H94" s="2">
        <v>9</v>
      </c>
      <c r="I94" s="2" t="s">
        <v>22</v>
      </c>
      <c r="J94" s="2" t="s">
        <v>14</v>
      </c>
    </row>
    <row r="95" spans="1:10" x14ac:dyDescent="0.3">
      <c r="A95" s="2">
        <v>194</v>
      </c>
      <c r="B95" s="2">
        <v>27</v>
      </c>
      <c r="C95" s="2" t="s">
        <v>18</v>
      </c>
      <c r="D95" s="2">
        <v>60919</v>
      </c>
      <c r="E95" s="2">
        <v>8</v>
      </c>
      <c r="F95" s="2">
        <v>4</v>
      </c>
      <c r="G95" s="2">
        <v>1</v>
      </c>
      <c r="H95" s="2">
        <v>9</v>
      </c>
      <c r="I95" s="2" t="s">
        <v>19</v>
      </c>
      <c r="J95" s="2" t="s">
        <v>11</v>
      </c>
    </row>
    <row r="96" spans="1:10" x14ac:dyDescent="0.3">
      <c r="A96" s="2">
        <v>195</v>
      </c>
      <c r="B96" s="2">
        <v>39</v>
      </c>
      <c r="C96" s="2" t="s">
        <v>16</v>
      </c>
      <c r="D96" s="2">
        <v>25039</v>
      </c>
      <c r="E96" s="2">
        <v>7</v>
      </c>
      <c r="F96" s="2">
        <v>5</v>
      </c>
      <c r="G96" s="2">
        <v>5</v>
      </c>
      <c r="H96" s="2">
        <v>7</v>
      </c>
      <c r="I96" s="2" t="s">
        <v>17</v>
      </c>
      <c r="J96" s="2" t="s">
        <v>11</v>
      </c>
    </row>
    <row r="97" spans="1:10" x14ac:dyDescent="0.3">
      <c r="A97" s="2">
        <v>196</v>
      </c>
      <c r="B97" s="2">
        <v>22</v>
      </c>
      <c r="C97" s="2" t="s">
        <v>9</v>
      </c>
      <c r="D97" s="2">
        <v>41806</v>
      </c>
      <c r="E97" s="2">
        <v>6</v>
      </c>
      <c r="F97" s="2">
        <v>5</v>
      </c>
      <c r="G97" s="2">
        <v>4</v>
      </c>
      <c r="H97" s="2">
        <v>10</v>
      </c>
      <c r="I97" s="2" t="s">
        <v>20</v>
      </c>
      <c r="J97" s="2" t="s">
        <v>14</v>
      </c>
    </row>
    <row r="98" spans="1:10" x14ac:dyDescent="0.3">
      <c r="A98" s="2">
        <v>197</v>
      </c>
      <c r="B98" s="2">
        <v>29</v>
      </c>
      <c r="C98" s="2" t="s">
        <v>21</v>
      </c>
      <c r="D98" s="2">
        <v>42588</v>
      </c>
      <c r="E98" s="2">
        <v>9</v>
      </c>
      <c r="F98" s="2">
        <v>3</v>
      </c>
      <c r="G98" s="2">
        <v>5</v>
      </c>
      <c r="H98" s="2">
        <v>9</v>
      </c>
      <c r="I98" s="2" t="s">
        <v>10</v>
      </c>
      <c r="J98" s="2" t="s">
        <v>14</v>
      </c>
    </row>
    <row r="99" spans="1:10" x14ac:dyDescent="0.3">
      <c r="A99" s="2">
        <v>198</v>
      </c>
      <c r="B99" s="2">
        <v>27</v>
      </c>
      <c r="C99" s="2" t="s">
        <v>9</v>
      </c>
      <c r="D99" s="2">
        <v>48106</v>
      </c>
      <c r="E99" s="2">
        <v>7</v>
      </c>
      <c r="F99" s="2">
        <v>5</v>
      </c>
      <c r="G99" s="2">
        <v>4</v>
      </c>
      <c r="H99" s="2">
        <v>5</v>
      </c>
      <c r="I99" s="2" t="s">
        <v>20</v>
      </c>
      <c r="J99" s="2" t="s">
        <v>14</v>
      </c>
    </row>
    <row r="100" spans="1:10" x14ac:dyDescent="0.3">
      <c r="A100" s="2">
        <v>199</v>
      </c>
      <c r="B100" s="2">
        <v>45</v>
      </c>
      <c r="C100" s="2" t="s">
        <v>18</v>
      </c>
      <c r="D100" s="2">
        <v>54077</v>
      </c>
      <c r="E100" s="2">
        <v>6</v>
      </c>
      <c r="F100" s="2">
        <v>5</v>
      </c>
      <c r="G100" s="2">
        <v>1</v>
      </c>
      <c r="H100" s="2">
        <v>7</v>
      </c>
      <c r="I100" s="2" t="s">
        <v>19</v>
      </c>
      <c r="J100" s="2" t="s">
        <v>11</v>
      </c>
    </row>
    <row r="101" spans="1:10" x14ac:dyDescent="0.3">
      <c r="A101" s="2">
        <v>200</v>
      </c>
      <c r="B101" s="2">
        <v>28</v>
      </c>
      <c r="C101" s="2" t="s">
        <v>16</v>
      </c>
      <c r="D101" s="2">
        <v>48467</v>
      </c>
      <c r="E101" s="2">
        <v>7</v>
      </c>
      <c r="F101" s="2">
        <v>5</v>
      </c>
      <c r="G101" s="2">
        <v>2</v>
      </c>
      <c r="H101" s="2">
        <v>6</v>
      </c>
      <c r="I101" s="2" t="s">
        <v>17</v>
      </c>
      <c r="J101" s="2" t="s">
        <v>11</v>
      </c>
    </row>
    <row r="102" spans="1:10" x14ac:dyDescent="0.3">
      <c r="A102" s="2">
        <v>201</v>
      </c>
      <c r="B102" s="2">
        <v>44</v>
      </c>
      <c r="C102" s="2" t="s">
        <v>21</v>
      </c>
      <c r="D102" s="2">
        <v>72460</v>
      </c>
      <c r="E102" s="2">
        <v>6</v>
      </c>
      <c r="F102" s="2">
        <v>5</v>
      </c>
      <c r="G102" s="2">
        <v>5</v>
      </c>
      <c r="H102" s="2">
        <v>9</v>
      </c>
      <c r="I102" s="2" t="s">
        <v>22</v>
      </c>
      <c r="J102" s="2" t="s">
        <v>14</v>
      </c>
    </row>
    <row r="103" spans="1:10" x14ac:dyDescent="0.3">
      <c r="A103" s="2">
        <v>202</v>
      </c>
      <c r="B103" s="2">
        <v>29</v>
      </c>
      <c r="C103" s="2" t="s">
        <v>9</v>
      </c>
      <c r="D103" s="2">
        <v>27505</v>
      </c>
      <c r="E103" s="2">
        <v>7</v>
      </c>
      <c r="F103" s="2">
        <v>5</v>
      </c>
      <c r="G103" s="2">
        <v>2</v>
      </c>
      <c r="H103" s="2">
        <v>1</v>
      </c>
      <c r="I103" s="2" t="s">
        <v>20</v>
      </c>
      <c r="J103" s="2" t="s">
        <v>11</v>
      </c>
    </row>
    <row r="104" spans="1:10" x14ac:dyDescent="0.3">
      <c r="A104" s="2">
        <v>203</v>
      </c>
      <c r="B104" s="2">
        <v>40</v>
      </c>
      <c r="C104" s="2" t="s">
        <v>16</v>
      </c>
      <c r="D104" s="2">
        <v>33080</v>
      </c>
      <c r="E104" s="2">
        <v>7</v>
      </c>
      <c r="F104" s="2">
        <v>5</v>
      </c>
      <c r="G104" s="2">
        <v>5</v>
      </c>
      <c r="H104" s="2">
        <v>9</v>
      </c>
      <c r="I104" s="2" t="s">
        <v>17</v>
      </c>
      <c r="J104" s="2" t="s">
        <v>11</v>
      </c>
    </row>
    <row r="105" spans="1:10" x14ac:dyDescent="0.3">
      <c r="A105" s="2">
        <v>204</v>
      </c>
      <c r="B105" s="2">
        <v>27</v>
      </c>
      <c r="C105" s="2" t="s">
        <v>21</v>
      </c>
      <c r="D105" s="2">
        <v>25870</v>
      </c>
      <c r="E105" s="2">
        <v>9</v>
      </c>
      <c r="F105" s="2">
        <v>3</v>
      </c>
      <c r="G105" s="2">
        <v>1</v>
      </c>
      <c r="H105" s="2">
        <v>3</v>
      </c>
      <c r="I105" s="2" t="s">
        <v>10</v>
      </c>
      <c r="J105" s="2" t="s">
        <v>11</v>
      </c>
    </row>
    <row r="106" spans="1:10" x14ac:dyDescent="0.3">
      <c r="A106" s="2">
        <v>205</v>
      </c>
      <c r="B106" s="2">
        <v>32</v>
      </c>
      <c r="C106" s="2" t="s">
        <v>18</v>
      </c>
      <c r="D106" s="2">
        <v>80343</v>
      </c>
      <c r="E106" s="2">
        <v>9</v>
      </c>
      <c r="F106" s="2">
        <v>3</v>
      </c>
      <c r="G106" s="2">
        <v>1</v>
      </c>
      <c r="H106" s="2">
        <v>9</v>
      </c>
      <c r="I106" s="2" t="s">
        <v>19</v>
      </c>
      <c r="J106" s="2" t="s">
        <v>11</v>
      </c>
    </row>
    <row r="107" spans="1:10" x14ac:dyDescent="0.3">
      <c r="A107" s="2">
        <v>206</v>
      </c>
      <c r="B107" s="2">
        <v>26</v>
      </c>
      <c r="C107" s="2" t="s">
        <v>16</v>
      </c>
      <c r="D107" s="2">
        <v>86208</v>
      </c>
      <c r="E107" s="2">
        <v>6</v>
      </c>
      <c r="F107" s="2">
        <v>5</v>
      </c>
      <c r="G107" s="2">
        <v>3</v>
      </c>
      <c r="H107" s="2">
        <v>7</v>
      </c>
      <c r="I107" s="2" t="s">
        <v>17</v>
      </c>
      <c r="J107" s="2" t="s">
        <v>14</v>
      </c>
    </row>
    <row r="108" spans="1:10" x14ac:dyDescent="0.3">
      <c r="A108" s="2">
        <v>207</v>
      </c>
      <c r="B108" s="2">
        <v>44</v>
      </c>
      <c r="C108" s="2" t="s">
        <v>21</v>
      </c>
      <c r="D108" s="2">
        <v>55106</v>
      </c>
      <c r="E108" s="2">
        <v>8</v>
      </c>
      <c r="F108" s="2">
        <v>4</v>
      </c>
      <c r="G108" s="2">
        <v>4</v>
      </c>
      <c r="H108" s="2">
        <v>7</v>
      </c>
      <c r="I108" s="2" t="s">
        <v>22</v>
      </c>
      <c r="J108" s="2" t="s">
        <v>14</v>
      </c>
    </row>
    <row r="109" spans="1:10" x14ac:dyDescent="0.3">
      <c r="A109" s="2">
        <v>208</v>
      </c>
      <c r="B109" s="2">
        <v>43</v>
      </c>
      <c r="C109" s="2" t="s">
        <v>12</v>
      </c>
      <c r="D109" s="2">
        <v>34228</v>
      </c>
      <c r="E109" s="2">
        <v>10</v>
      </c>
      <c r="F109" s="2">
        <v>2</v>
      </c>
      <c r="G109" s="2">
        <v>1</v>
      </c>
      <c r="H109" s="2">
        <v>2</v>
      </c>
      <c r="I109" s="2" t="s">
        <v>13</v>
      </c>
      <c r="J109" s="2" t="s">
        <v>11</v>
      </c>
    </row>
    <row r="110" spans="1:10" x14ac:dyDescent="0.3">
      <c r="A110" s="2">
        <v>209</v>
      </c>
      <c r="B110" s="2">
        <v>27</v>
      </c>
      <c r="C110" s="2" t="s">
        <v>12</v>
      </c>
      <c r="D110" s="2">
        <v>68044</v>
      </c>
      <c r="E110" s="2">
        <v>7</v>
      </c>
      <c r="F110" s="2">
        <v>5</v>
      </c>
      <c r="G110" s="2">
        <v>1</v>
      </c>
      <c r="H110" s="2">
        <v>6</v>
      </c>
      <c r="I110" s="2" t="s">
        <v>13</v>
      </c>
      <c r="J110" s="2" t="s">
        <v>11</v>
      </c>
    </row>
    <row r="111" spans="1:10" x14ac:dyDescent="0.3">
      <c r="A111" s="2">
        <v>210</v>
      </c>
      <c r="B111" s="2">
        <v>40</v>
      </c>
      <c r="C111" s="2" t="s">
        <v>18</v>
      </c>
      <c r="D111" s="2">
        <v>52790</v>
      </c>
      <c r="E111" s="2">
        <v>8</v>
      </c>
      <c r="F111" s="2">
        <v>4</v>
      </c>
      <c r="G111" s="2">
        <v>5</v>
      </c>
      <c r="H111" s="2">
        <v>3</v>
      </c>
      <c r="I111" s="2" t="s">
        <v>19</v>
      </c>
      <c r="J111" s="2" t="s">
        <v>14</v>
      </c>
    </row>
    <row r="112" spans="1:10" x14ac:dyDescent="0.3">
      <c r="A112" s="2">
        <v>211</v>
      </c>
      <c r="B112" s="2">
        <v>45</v>
      </c>
      <c r="C112" s="2" t="s">
        <v>21</v>
      </c>
      <c r="D112" s="2">
        <v>53619</v>
      </c>
      <c r="E112" s="2">
        <v>7</v>
      </c>
      <c r="F112" s="2">
        <v>5</v>
      </c>
      <c r="G112" s="2">
        <v>3</v>
      </c>
      <c r="H112" s="2">
        <v>8</v>
      </c>
      <c r="I112" s="2" t="s">
        <v>10</v>
      </c>
      <c r="J112" s="2" t="s">
        <v>14</v>
      </c>
    </row>
    <row r="113" spans="1:10" x14ac:dyDescent="0.3">
      <c r="A113" s="2">
        <v>212</v>
      </c>
      <c r="B113" s="2">
        <v>25</v>
      </c>
      <c r="C113" s="2" t="s">
        <v>12</v>
      </c>
      <c r="D113" s="2">
        <v>89450</v>
      </c>
      <c r="E113" s="2">
        <v>8</v>
      </c>
      <c r="F113" s="2">
        <v>4</v>
      </c>
      <c r="G113" s="2">
        <v>2</v>
      </c>
      <c r="H113" s="2">
        <v>5</v>
      </c>
      <c r="I113" s="2" t="s">
        <v>13</v>
      </c>
      <c r="J113" s="2" t="s">
        <v>11</v>
      </c>
    </row>
    <row r="114" spans="1:10" x14ac:dyDescent="0.3">
      <c r="A114" s="2">
        <v>213</v>
      </c>
      <c r="B114" s="2">
        <v>32</v>
      </c>
      <c r="C114" s="2" t="s">
        <v>18</v>
      </c>
      <c r="D114" s="2">
        <v>63481</v>
      </c>
      <c r="E114" s="2">
        <v>6</v>
      </c>
      <c r="F114" s="2">
        <v>5</v>
      </c>
      <c r="G114" s="2">
        <v>4</v>
      </c>
      <c r="H114" s="2">
        <v>2</v>
      </c>
      <c r="I114" s="2" t="s">
        <v>19</v>
      </c>
      <c r="J114" s="2" t="s">
        <v>14</v>
      </c>
    </row>
    <row r="115" spans="1:10" x14ac:dyDescent="0.3">
      <c r="A115" s="2">
        <v>214</v>
      </c>
      <c r="B115" s="2">
        <v>36</v>
      </c>
      <c r="C115" s="2" t="s">
        <v>9</v>
      </c>
      <c r="D115" s="2">
        <v>78238</v>
      </c>
      <c r="E115" s="2">
        <v>9</v>
      </c>
      <c r="F115" s="2">
        <v>3</v>
      </c>
      <c r="G115" s="2">
        <v>2</v>
      </c>
      <c r="H115" s="2">
        <v>7</v>
      </c>
      <c r="I115" s="2" t="s">
        <v>20</v>
      </c>
      <c r="J115" s="2" t="s">
        <v>11</v>
      </c>
    </row>
    <row r="116" spans="1:10" x14ac:dyDescent="0.3">
      <c r="A116" s="2">
        <v>215</v>
      </c>
      <c r="B116" s="2">
        <v>31</v>
      </c>
      <c r="C116" s="2" t="s">
        <v>21</v>
      </c>
      <c r="D116" s="2">
        <v>30938</v>
      </c>
      <c r="E116" s="2">
        <v>10</v>
      </c>
      <c r="F116" s="2">
        <v>2</v>
      </c>
      <c r="G116" s="2">
        <v>4</v>
      </c>
      <c r="H116" s="2">
        <v>6</v>
      </c>
      <c r="I116" s="2" t="s">
        <v>22</v>
      </c>
      <c r="J116" s="2" t="s">
        <v>11</v>
      </c>
    </row>
    <row r="117" spans="1:10" x14ac:dyDescent="0.3">
      <c r="A117" s="2">
        <v>216</v>
      </c>
      <c r="B117" s="2">
        <v>45</v>
      </c>
      <c r="C117" s="2" t="s">
        <v>12</v>
      </c>
      <c r="D117" s="2">
        <v>85628</v>
      </c>
      <c r="E117" s="2">
        <v>7</v>
      </c>
      <c r="F117" s="2">
        <v>5</v>
      </c>
      <c r="G117" s="2">
        <v>2</v>
      </c>
      <c r="H117" s="2">
        <v>1</v>
      </c>
      <c r="I117" s="2" t="s">
        <v>13</v>
      </c>
      <c r="J117" s="2" t="s">
        <v>11</v>
      </c>
    </row>
    <row r="118" spans="1:10" x14ac:dyDescent="0.3">
      <c r="A118" s="2">
        <v>217</v>
      </c>
      <c r="B118" s="2">
        <v>23</v>
      </c>
      <c r="C118" s="2" t="s">
        <v>21</v>
      </c>
      <c r="D118" s="2">
        <v>28110</v>
      </c>
      <c r="E118" s="2">
        <v>10</v>
      </c>
      <c r="F118" s="2">
        <v>2</v>
      </c>
      <c r="G118" s="2">
        <v>4</v>
      </c>
      <c r="H118" s="2">
        <v>7</v>
      </c>
      <c r="I118" s="2" t="s">
        <v>22</v>
      </c>
      <c r="J118" s="2" t="s">
        <v>11</v>
      </c>
    </row>
    <row r="119" spans="1:10" x14ac:dyDescent="0.3">
      <c r="A119" s="2">
        <v>218</v>
      </c>
      <c r="B119" s="2">
        <v>37</v>
      </c>
      <c r="C119" s="2" t="s">
        <v>12</v>
      </c>
      <c r="D119" s="2">
        <v>63368</v>
      </c>
      <c r="E119" s="2">
        <v>10</v>
      </c>
      <c r="F119" s="2">
        <v>2</v>
      </c>
      <c r="G119" s="2">
        <v>5</v>
      </c>
      <c r="H119" s="2">
        <v>1</v>
      </c>
      <c r="I119" s="2" t="s">
        <v>13</v>
      </c>
      <c r="J119" s="2" t="s">
        <v>11</v>
      </c>
    </row>
    <row r="120" spans="1:10" x14ac:dyDescent="0.3">
      <c r="A120" s="2">
        <v>219</v>
      </c>
      <c r="B120" s="2">
        <v>34</v>
      </c>
      <c r="C120" s="2" t="s">
        <v>16</v>
      </c>
      <c r="D120" s="2">
        <v>73365</v>
      </c>
      <c r="E120" s="2">
        <v>9</v>
      </c>
      <c r="F120" s="2">
        <v>3</v>
      </c>
      <c r="G120" s="2">
        <v>5</v>
      </c>
      <c r="H120" s="2">
        <v>3</v>
      </c>
      <c r="I120" s="2" t="s">
        <v>17</v>
      </c>
      <c r="J120" s="2" t="s">
        <v>14</v>
      </c>
    </row>
    <row r="121" spans="1:10" x14ac:dyDescent="0.3">
      <c r="A121" s="2">
        <v>220</v>
      </c>
      <c r="B121" s="2">
        <v>42</v>
      </c>
      <c r="C121" s="2" t="s">
        <v>16</v>
      </c>
      <c r="D121" s="2">
        <v>51669</v>
      </c>
      <c r="E121" s="2">
        <v>9</v>
      </c>
      <c r="F121" s="2">
        <v>3</v>
      </c>
      <c r="G121" s="2">
        <v>2</v>
      </c>
      <c r="H121" s="2">
        <v>4</v>
      </c>
      <c r="I121" s="2" t="s">
        <v>17</v>
      </c>
      <c r="J121" s="2" t="s">
        <v>11</v>
      </c>
    </row>
    <row r="122" spans="1:10" x14ac:dyDescent="0.3">
      <c r="A122" s="2">
        <v>221</v>
      </c>
      <c r="B122" s="2">
        <v>24</v>
      </c>
      <c r="C122" s="2" t="s">
        <v>9</v>
      </c>
      <c r="D122" s="2">
        <v>45739</v>
      </c>
      <c r="E122" s="2">
        <v>7</v>
      </c>
      <c r="F122" s="2">
        <v>5</v>
      </c>
      <c r="G122" s="2">
        <v>2</v>
      </c>
      <c r="H122" s="2">
        <v>8</v>
      </c>
      <c r="I122" s="2" t="s">
        <v>10</v>
      </c>
      <c r="J122" s="2" t="s">
        <v>11</v>
      </c>
    </row>
    <row r="123" spans="1:10" x14ac:dyDescent="0.3">
      <c r="A123" s="2">
        <v>222</v>
      </c>
      <c r="B123" s="2">
        <v>45</v>
      </c>
      <c r="C123" s="2" t="s">
        <v>18</v>
      </c>
      <c r="D123" s="2">
        <v>51372</v>
      </c>
      <c r="E123" s="2">
        <v>6</v>
      </c>
      <c r="F123" s="2">
        <v>5</v>
      </c>
      <c r="G123" s="2">
        <v>4</v>
      </c>
      <c r="H123" s="2">
        <v>5</v>
      </c>
      <c r="I123" s="2" t="s">
        <v>19</v>
      </c>
      <c r="J123" s="2" t="s">
        <v>14</v>
      </c>
    </row>
    <row r="124" spans="1:10" x14ac:dyDescent="0.3">
      <c r="A124" s="2">
        <v>223</v>
      </c>
      <c r="B124" s="2">
        <v>38</v>
      </c>
      <c r="C124" s="2" t="s">
        <v>12</v>
      </c>
      <c r="D124" s="2">
        <v>50078</v>
      </c>
      <c r="E124" s="2">
        <v>9</v>
      </c>
      <c r="F124" s="2">
        <v>3</v>
      </c>
      <c r="G124" s="2">
        <v>4</v>
      </c>
      <c r="H124" s="2">
        <v>9</v>
      </c>
      <c r="I124" s="2" t="s">
        <v>15</v>
      </c>
      <c r="J124" s="2" t="s">
        <v>14</v>
      </c>
    </row>
    <row r="125" spans="1:10" x14ac:dyDescent="0.3">
      <c r="A125" s="2">
        <v>224</v>
      </c>
      <c r="B125" s="2">
        <v>29</v>
      </c>
      <c r="C125" s="2" t="s">
        <v>9</v>
      </c>
      <c r="D125" s="2">
        <v>81982</v>
      </c>
      <c r="E125" s="2">
        <v>8</v>
      </c>
      <c r="F125" s="2">
        <v>4</v>
      </c>
      <c r="G125" s="2">
        <v>1</v>
      </c>
      <c r="H125" s="2">
        <v>3</v>
      </c>
      <c r="I125" s="2" t="s">
        <v>10</v>
      </c>
      <c r="J125" s="2" t="s">
        <v>11</v>
      </c>
    </row>
    <row r="126" spans="1:10" x14ac:dyDescent="0.3">
      <c r="A126" s="2">
        <v>225</v>
      </c>
      <c r="B126" s="2">
        <v>35</v>
      </c>
      <c r="C126" s="2" t="s">
        <v>18</v>
      </c>
      <c r="D126" s="2">
        <v>42162</v>
      </c>
      <c r="E126" s="2">
        <v>6</v>
      </c>
      <c r="F126" s="2">
        <v>5</v>
      </c>
      <c r="G126" s="2">
        <v>5</v>
      </c>
      <c r="H126" s="2">
        <v>1</v>
      </c>
      <c r="I126" s="2" t="s">
        <v>19</v>
      </c>
      <c r="J126" s="2" t="s">
        <v>14</v>
      </c>
    </row>
    <row r="127" spans="1:10" x14ac:dyDescent="0.3">
      <c r="A127" s="2">
        <v>226</v>
      </c>
      <c r="B127" s="2">
        <v>32</v>
      </c>
      <c r="C127" s="2" t="s">
        <v>12</v>
      </c>
      <c r="D127" s="2">
        <v>38203</v>
      </c>
      <c r="E127" s="2">
        <v>10</v>
      </c>
      <c r="F127" s="2">
        <v>2</v>
      </c>
      <c r="G127" s="2">
        <v>5</v>
      </c>
      <c r="H127" s="2">
        <v>6</v>
      </c>
      <c r="I127" s="2" t="s">
        <v>15</v>
      </c>
      <c r="J127" s="2" t="s">
        <v>11</v>
      </c>
    </row>
    <row r="128" spans="1:10" x14ac:dyDescent="0.3">
      <c r="A128" s="2">
        <v>227</v>
      </c>
      <c r="B128" s="2">
        <v>31</v>
      </c>
      <c r="C128" s="2" t="s">
        <v>9</v>
      </c>
      <c r="D128" s="2">
        <v>57830</v>
      </c>
      <c r="E128" s="2">
        <v>10</v>
      </c>
      <c r="F128" s="2">
        <v>2</v>
      </c>
      <c r="G128" s="2">
        <v>3</v>
      </c>
      <c r="H128" s="2">
        <v>5</v>
      </c>
      <c r="I128" s="2" t="s">
        <v>10</v>
      </c>
      <c r="J128" s="2" t="s">
        <v>11</v>
      </c>
    </row>
    <row r="129" spans="1:10" x14ac:dyDescent="0.3">
      <c r="A129" s="2">
        <v>228</v>
      </c>
      <c r="B129" s="2">
        <v>30</v>
      </c>
      <c r="C129" s="2" t="s">
        <v>16</v>
      </c>
      <c r="D129" s="2">
        <v>54937</v>
      </c>
      <c r="E129" s="2">
        <v>8</v>
      </c>
      <c r="F129" s="2">
        <v>4</v>
      </c>
      <c r="G129" s="2">
        <v>1</v>
      </c>
      <c r="H129" s="2">
        <v>6</v>
      </c>
      <c r="I129" s="2" t="s">
        <v>17</v>
      </c>
      <c r="J129" s="2" t="s">
        <v>11</v>
      </c>
    </row>
    <row r="130" spans="1:10" x14ac:dyDescent="0.3">
      <c r="A130" s="2">
        <v>229</v>
      </c>
      <c r="B130" s="2">
        <v>31</v>
      </c>
      <c r="C130" s="2" t="s">
        <v>9</v>
      </c>
      <c r="D130" s="2">
        <v>35268</v>
      </c>
      <c r="E130" s="2">
        <v>9</v>
      </c>
      <c r="F130" s="2">
        <v>3</v>
      </c>
      <c r="G130" s="2">
        <v>5</v>
      </c>
      <c r="H130" s="2">
        <v>2</v>
      </c>
      <c r="I130" s="2" t="s">
        <v>10</v>
      </c>
      <c r="J130" s="2" t="s">
        <v>11</v>
      </c>
    </row>
    <row r="131" spans="1:10" x14ac:dyDescent="0.3">
      <c r="A131" s="2">
        <v>230</v>
      </c>
      <c r="B131" s="2">
        <v>40</v>
      </c>
      <c r="C131" s="2" t="s">
        <v>16</v>
      </c>
      <c r="D131" s="2">
        <v>66118</v>
      </c>
      <c r="E131" s="2">
        <v>6</v>
      </c>
      <c r="F131" s="2">
        <v>5</v>
      </c>
      <c r="G131" s="2">
        <v>1</v>
      </c>
      <c r="H131" s="2">
        <v>8</v>
      </c>
      <c r="I131" s="2" t="s">
        <v>17</v>
      </c>
      <c r="J131" s="2" t="s">
        <v>11</v>
      </c>
    </row>
    <row r="132" spans="1:10" x14ac:dyDescent="0.3">
      <c r="A132" s="2">
        <v>231</v>
      </c>
      <c r="B132" s="2">
        <v>43</v>
      </c>
      <c r="C132" s="2" t="s">
        <v>16</v>
      </c>
      <c r="D132" s="2">
        <v>68753</v>
      </c>
      <c r="E132" s="2">
        <v>8</v>
      </c>
      <c r="F132" s="2">
        <v>4</v>
      </c>
      <c r="G132" s="2">
        <v>1</v>
      </c>
      <c r="H132" s="2">
        <v>7</v>
      </c>
      <c r="I132" s="2" t="s">
        <v>17</v>
      </c>
      <c r="J132" s="2" t="s">
        <v>11</v>
      </c>
    </row>
    <row r="133" spans="1:10" x14ac:dyDescent="0.3">
      <c r="A133" s="2">
        <v>232</v>
      </c>
      <c r="B133" s="2">
        <v>26</v>
      </c>
      <c r="C133" s="2" t="s">
        <v>12</v>
      </c>
      <c r="D133" s="2">
        <v>46505</v>
      </c>
      <c r="E133" s="2">
        <v>9</v>
      </c>
      <c r="F133" s="2">
        <v>3</v>
      </c>
      <c r="G133" s="2">
        <v>5</v>
      </c>
      <c r="H133" s="2">
        <v>5</v>
      </c>
      <c r="I133" s="2" t="s">
        <v>15</v>
      </c>
      <c r="J133" s="2" t="s">
        <v>14</v>
      </c>
    </row>
    <row r="134" spans="1:10" x14ac:dyDescent="0.3">
      <c r="A134" s="2">
        <v>233</v>
      </c>
      <c r="B134" s="2">
        <v>28</v>
      </c>
      <c r="C134" s="2" t="s">
        <v>12</v>
      </c>
      <c r="D134" s="2">
        <v>41389</v>
      </c>
      <c r="E134" s="2">
        <v>9</v>
      </c>
      <c r="F134" s="2">
        <v>3</v>
      </c>
      <c r="G134" s="2">
        <v>5</v>
      </c>
      <c r="H134" s="2">
        <v>8</v>
      </c>
      <c r="I134" s="2" t="s">
        <v>15</v>
      </c>
      <c r="J134" s="2" t="s">
        <v>14</v>
      </c>
    </row>
    <row r="135" spans="1:10" x14ac:dyDescent="0.3">
      <c r="A135" s="2">
        <v>234</v>
      </c>
      <c r="B135" s="2">
        <v>45</v>
      </c>
      <c r="C135" s="2" t="s">
        <v>12</v>
      </c>
      <c r="D135" s="2">
        <v>70483</v>
      </c>
      <c r="E135" s="2">
        <v>7</v>
      </c>
      <c r="F135" s="2">
        <v>5</v>
      </c>
      <c r="G135" s="2">
        <v>4</v>
      </c>
      <c r="H135" s="2">
        <v>2</v>
      </c>
      <c r="I135" s="2" t="s">
        <v>13</v>
      </c>
      <c r="J135" s="2" t="s">
        <v>14</v>
      </c>
    </row>
    <row r="136" spans="1:10" x14ac:dyDescent="0.3">
      <c r="A136" s="2">
        <v>235</v>
      </c>
      <c r="B136" s="2">
        <v>40</v>
      </c>
      <c r="C136" s="2" t="s">
        <v>9</v>
      </c>
      <c r="D136" s="2">
        <v>52965</v>
      </c>
      <c r="E136" s="2">
        <v>8</v>
      </c>
      <c r="F136" s="2">
        <v>4</v>
      </c>
      <c r="G136" s="2">
        <v>5</v>
      </c>
      <c r="H136" s="2">
        <v>2</v>
      </c>
      <c r="I136" s="2" t="s">
        <v>10</v>
      </c>
      <c r="J136" s="2" t="s">
        <v>14</v>
      </c>
    </row>
    <row r="137" spans="1:10" x14ac:dyDescent="0.3">
      <c r="A137" s="2">
        <v>236</v>
      </c>
      <c r="B137" s="2">
        <v>42</v>
      </c>
      <c r="C137" s="2" t="s">
        <v>21</v>
      </c>
      <c r="D137" s="2">
        <v>73062</v>
      </c>
      <c r="E137" s="2">
        <v>6</v>
      </c>
      <c r="F137" s="2">
        <v>5</v>
      </c>
      <c r="G137" s="2">
        <v>5</v>
      </c>
      <c r="H137" s="2">
        <v>2</v>
      </c>
      <c r="I137" s="2" t="s">
        <v>22</v>
      </c>
      <c r="J137" s="2" t="s">
        <v>14</v>
      </c>
    </row>
    <row r="138" spans="1:10" x14ac:dyDescent="0.3">
      <c r="A138" s="2">
        <v>237</v>
      </c>
      <c r="B138" s="2">
        <v>39</v>
      </c>
      <c r="C138" s="2" t="s">
        <v>9</v>
      </c>
      <c r="D138" s="2">
        <v>49400</v>
      </c>
      <c r="E138" s="2">
        <v>8</v>
      </c>
      <c r="F138" s="2">
        <v>4</v>
      </c>
      <c r="G138" s="2">
        <v>2</v>
      </c>
      <c r="H138" s="2">
        <v>2</v>
      </c>
      <c r="I138" s="2" t="s">
        <v>10</v>
      </c>
      <c r="J138" s="2" t="s">
        <v>11</v>
      </c>
    </row>
    <row r="139" spans="1:10" x14ac:dyDescent="0.3">
      <c r="A139" s="2">
        <v>238</v>
      </c>
      <c r="B139" s="2">
        <v>39</v>
      </c>
      <c r="C139" s="2" t="s">
        <v>21</v>
      </c>
      <c r="D139" s="2">
        <v>36850</v>
      </c>
      <c r="E139" s="2">
        <v>8</v>
      </c>
      <c r="F139" s="2">
        <v>4</v>
      </c>
      <c r="G139" s="2">
        <v>2</v>
      </c>
      <c r="H139" s="2">
        <v>10</v>
      </c>
      <c r="I139" s="2" t="s">
        <v>22</v>
      </c>
      <c r="J139" s="2" t="s">
        <v>11</v>
      </c>
    </row>
    <row r="140" spans="1:10" x14ac:dyDescent="0.3">
      <c r="A140" s="2">
        <v>239</v>
      </c>
      <c r="B140" s="2">
        <v>35</v>
      </c>
      <c r="C140" s="2" t="s">
        <v>21</v>
      </c>
      <c r="D140" s="2">
        <v>38895</v>
      </c>
      <c r="E140" s="2">
        <v>7</v>
      </c>
      <c r="F140" s="2">
        <v>5</v>
      </c>
      <c r="G140" s="2">
        <v>2</v>
      </c>
      <c r="H140" s="2">
        <v>5</v>
      </c>
      <c r="I140" s="2" t="s">
        <v>22</v>
      </c>
      <c r="J140" s="2" t="s">
        <v>11</v>
      </c>
    </row>
    <row r="141" spans="1:10" x14ac:dyDescent="0.3">
      <c r="A141" s="2">
        <v>240</v>
      </c>
      <c r="B141" s="2">
        <v>23</v>
      </c>
      <c r="C141" s="2" t="s">
        <v>16</v>
      </c>
      <c r="D141" s="2">
        <v>77892</v>
      </c>
      <c r="E141" s="2">
        <v>10</v>
      </c>
      <c r="F141" s="2">
        <v>2</v>
      </c>
      <c r="G141" s="2">
        <v>5</v>
      </c>
      <c r="H141" s="2">
        <v>0</v>
      </c>
      <c r="I141" s="2" t="s">
        <v>17</v>
      </c>
      <c r="J141" s="2" t="s">
        <v>11</v>
      </c>
    </row>
    <row r="142" spans="1:10" x14ac:dyDescent="0.3">
      <c r="A142" s="2">
        <v>241</v>
      </c>
      <c r="B142" s="2">
        <v>27</v>
      </c>
      <c r="C142" s="2" t="s">
        <v>21</v>
      </c>
      <c r="D142" s="2">
        <v>33841</v>
      </c>
      <c r="E142" s="2">
        <v>9</v>
      </c>
      <c r="F142" s="2">
        <v>3</v>
      </c>
      <c r="G142" s="2">
        <v>5</v>
      </c>
      <c r="H142" s="2">
        <v>4</v>
      </c>
      <c r="I142" s="2" t="s">
        <v>10</v>
      </c>
      <c r="J142" s="2" t="s">
        <v>11</v>
      </c>
    </row>
    <row r="143" spans="1:10" x14ac:dyDescent="0.3">
      <c r="A143" s="2">
        <v>242</v>
      </c>
      <c r="B143" s="2">
        <v>29</v>
      </c>
      <c r="C143" s="2" t="s">
        <v>16</v>
      </c>
      <c r="D143" s="2">
        <v>69092</v>
      </c>
      <c r="E143" s="2">
        <v>6</v>
      </c>
      <c r="F143" s="2">
        <v>5</v>
      </c>
      <c r="G143" s="2">
        <v>1</v>
      </c>
      <c r="H143" s="2">
        <v>2</v>
      </c>
      <c r="I143" s="2" t="s">
        <v>17</v>
      </c>
      <c r="J143" s="2" t="s">
        <v>11</v>
      </c>
    </row>
    <row r="144" spans="1:10" x14ac:dyDescent="0.3">
      <c r="A144" s="2">
        <v>243</v>
      </c>
      <c r="B144" s="2">
        <v>36</v>
      </c>
      <c r="C144" s="2" t="s">
        <v>18</v>
      </c>
      <c r="D144" s="2">
        <v>59828</v>
      </c>
      <c r="E144" s="2">
        <v>6</v>
      </c>
      <c r="F144" s="2">
        <v>5</v>
      </c>
      <c r="G144" s="2">
        <v>3</v>
      </c>
      <c r="H144" s="2">
        <v>3</v>
      </c>
      <c r="I144" s="2" t="s">
        <v>19</v>
      </c>
      <c r="J144" s="2" t="s">
        <v>14</v>
      </c>
    </row>
    <row r="145" spans="1:10" x14ac:dyDescent="0.3">
      <c r="A145" s="2">
        <v>244</v>
      </c>
      <c r="B145" s="2">
        <v>22</v>
      </c>
      <c r="C145" s="2" t="s">
        <v>18</v>
      </c>
      <c r="D145" s="2">
        <v>79841</v>
      </c>
      <c r="E145" s="2">
        <v>7</v>
      </c>
      <c r="F145" s="2">
        <v>5</v>
      </c>
      <c r="G145" s="2">
        <v>5</v>
      </c>
      <c r="H145" s="2">
        <v>2</v>
      </c>
      <c r="I145" s="2" t="s">
        <v>19</v>
      </c>
      <c r="J145" s="2" t="s">
        <v>14</v>
      </c>
    </row>
    <row r="146" spans="1:10" x14ac:dyDescent="0.3">
      <c r="A146" s="2">
        <v>245</v>
      </c>
      <c r="B146" s="2">
        <v>44</v>
      </c>
      <c r="C146" s="2" t="s">
        <v>9</v>
      </c>
      <c r="D146" s="2">
        <v>35657</v>
      </c>
      <c r="E146" s="2">
        <v>8</v>
      </c>
      <c r="F146" s="2">
        <v>4</v>
      </c>
      <c r="G146" s="2">
        <v>3</v>
      </c>
      <c r="H146" s="2">
        <v>0</v>
      </c>
      <c r="I146" s="2" t="s">
        <v>10</v>
      </c>
      <c r="J146" s="2" t="s">
        <v>11</v>
      </c>
    </row>
    <row r="147" spans="1:10" x14ac:dyDescent="0.3">
      <c r="A147" s="2">
        <v>246</v>
      </c>
      <c r="B147" s="2">
        <v>33</v>
      </c>
      <c r="C147" s="2" t="s">
        <v>21</v>
      </c>
      <c r="D147" s="2">
        <v>81404</v>
      </c>
      <c r="E147" s="2">
        <v>6</v>
      </c>
      <c r="F147" s="2">
        <v>5</v>
      </c>
      <c r="G147" s="2">
        <v>2</v>
      </c>
      <c r="H147" s="2">
        <v>9</v>
      </c>
      <c r="I147" s="2" t="s">
        <v>10</v>
      </c>
      <c r="J147" s="2" t="s">
        <v>11</v>
      </c>
    </row>
    <row r="148" spans="1:10" x14ac:dyDescent="0.3">
      <c r="A148" s="2">
        <v>247</v>
      </c>
      <c r="B148" s="2">
        <v>39</v>
      </c>
      <c r="C148" s="2" t="s">
        <v>18</v>
      </c>
      <c r="D148" s="2">
        <v>33161</v>
      </c>
      <c r="E148" s="2">
        <v>7</v>
      </c>
      <c r="F148" s="2">
        <v>5</v>
      </c>
      <c r="G148" s="2">
        <v>2</v>
      </c>
      <c r="H148" s="2">
        <v>0</v>
      </c>
      <c r="I148" s="2" t="s">
        <v>19</v>
      </c>
      <c r="J148" s="2" t="s">
        <v>11</v>
      </c>
    </row>
    <row r="149" spans="1:10" x14ac:dyDescent="0.3">
      <c r="A149" s="2">
        <v>248</v>
      </c>
      <c r="B149" s="2">
        <v>42</v>
      </c>
      <c r="C149" s="2" t="s">
        <v>18</v>
      </c>
      <c r="D149" s="2">
        <v>27547</v>
      </c>
      <c r="E149" s="2">
        <v>6</v>
      </c>
      <c r="F149" s="2">
        <v>5</v>
      </c>
      <c r="G149" s="2">
        <v>5</v>
      </c>
      <c r="H149" s="2">
        <v>10</v>
      </c>
      <c r="I149" s="2" t="s">
        <v>19</v>
      </c>
      <c r="J149" s="2" t="s">
        <v>11</v>
      </c>
    </row>
    <row r="150" spans="1:10" x14ac:dyDescent="0.3">
      <c r="A150" s="2">
        <v>249</v>
      </c>
      <c r="B150" s="2">
        <v>41</v>
      </c>
      <c r="C150" s="2" t="s">
        <v>18</v>
      </c>
      <c r="D150" s="2">
        <v>87437</v>
      </c>
      <c r="E150" s="2">
        <v>7</v>
      </c>
      <c r="F150" s="2">
        <v>5</v>
      </c>
      <c r="G150" s="2">
        <v>1</v>
      </c>
      <c r="H150" s="2">
        <v>4</v>
      </c>
      <c r="I150" s="2" t="s">
        <v>19</v>
      </c>
      <c r="J150" s="2" t="s">
        <v>11</v>
      </c>
    </row>
    <row r="151" spans="1:10" x14ac:dyDescent="0.3">
      <c r="A151" s="2">
        <v>250</v>
      </c>
      <c r="B151" s="2">
        <v>33</v>
      </c>
      <c r="C151" s="2" t="s">
        <v>9</v>
      </c>
      <c r="D151" s="2">
        <v>56616</v>
      </c>
      <c r="E151" s="2">
        <v>8</v>
      </c>
      <c r="F151" s="2">
        <v>4</v>
      </c>
      <c r="G151" s="2">
        <v>2</v>
      </c>
      <c r="H151" s="2">
        <v>10</v>
      </c>
      <c r="I151" s="2" t="s">
        <v>20</v>
      </c>
      <c r="J151" s="2" t="s">
        <v>11</v>
      </c>
    </row>
    <row r="152" spans="1:10" x14ac:dyDescent="0.3">
      <c r="A152" s="2">
        <v>251</v>
      </c>
      <c r="B152" s="2">
        <v>42</v>
      </c>
      <c r="C152" s="2" t="s">
        <v>9</v>
      </c>
      <c r="D152" s="2">
        <v>88070</v>
      </c>
      <c r="E152" s="2">
        <v>6</v>
      </c>
      <c r="F152" s="2">
        <v>5</v>
      </c>
      <c r="G152" s="2">
        <v>5</v>
      </c>
      <c r="H152" s="2">
        <v>6</v>
      </c>
      <c r="I152" s="2" t="s">
        <v>10</v>
      </c>
      <c r="J152" s="2" t="s">
        <v>14</v>
      </c>
    </row>
    <row r="153" spans="1:10" x14ac:dyDescent="0.3">
      <c r="A153" s="2">
        <v>252</v>
      </c>
      <c r="B153" s="2">
        <v>35</v>
      </c>
      <c r="C153" s="2" t="s">
        <v>12</v>
      </c>
      <c r="D153" s="2">
        <v>88841</v>
      </c>
      <c r="E153" s="2">
        <v>10</v>
      </c>
      <c r="F153" s="2">
        <v>2</v>
      </c>
      <c r="G153" s="2">
        <v>3</v>
      </c>
      <c r="H153" s="2">
        <v>10</v>
      </c>
      <c r="I153" s="2" t="s">
        <v>13</v>
      </c>
      <c r="J153" s="2" t="s">
        <v>11</v>
      </c>
    </row>
    <row r="154" spans="1:10" x14ac:dyDescent="0.3">
      <c r="A154" s="2">
        <v>253</v>
      </c>
      <c r="B154" s="2">
        <v>26</v>
      </c>
      <c r="C154" s="2" t="s">
        <v>16</v>
      </c>
      <c r="D154" s="2">
        <v>63986</v>
      </c>
      <c r="E154" s="2">
        <v>7</v>
      </c>
      <c r="F154" s="2">
        <v>5</v>
      </c>
      <c r="G154" s="2">
        <v>2</v>
      </c>
      <c r="H154" s="2">
        <v>9</v>
      </c>
      <c r="I154" s="2" t="s">
        <v>17</v>
      </c>
      <c r="J154" s="2" t="s">
        <v>11</v>
      </c>
    </row>
    <row r="155" spans="1:10" x14ac:dyDescent="0.3">
      <c r="A155" s="2">
        <v>254</v>
      </c>
      <c r="B155" s="2">
        <v>23</v>
      </c>
      <c r="C155" s="2" t="s">
        <v>18</v>
      </c>
      <c r="D155" s="2">
        <v>40821</v>
      </c>
      <c r="E155" s="2">
        <v>9</v>
      </c>
      <c r="F155" s="2">
        <v>3</v>
      </c>
      <c r="G155" s="2">
        <v>1</v>
      </c>
      <c r="H155" s="2">
        <v>10</v>
      </c>
      <c r="I155" s="2" t="s">
        <v>19</v>
      </c>
      <c r="J155" s="2" t="s">
        <v>11</v>
      </c>
    </row>
    <row r="156" spans="1:10" x14ac:dyDescent="0.3">
      <c r="A156" s="2">
        <v>255</v>
      </c>
      <c r="B156" s="2">
        <v>29</v>
      </c>
      <c r="C156" s="2" t="s">
        <v>16</v>
      </c>
      <c r="D156" s="2">
        <v>41807</v>
      </c>
      <c r="E156" s="2">
        <v>8</v>
      </c>
      <c r="F156" s="2">
        <v>4</v>
      </c>
      <c r="G156" s="2">
        <v>2</v>
      </c>
      <c r="H156" s="2">
        <v>0</v>
      </c>
      <c r="I156" s="2" t="s">
        <v>17</v>
      </c>
      <c r="J156" s="2" t="s">
        <v>11</v>
      </c>
    </row>
    <row r="157" spans="1:10" x14ac:dyDescent="0.3">
      <c r="A157" s="2">
        <v>256</v>
      </c>
      <c r="B157" s="2">
        <v>35</v>
      </c>
      <c r="C157" s="2" t="s">
        <v>18</v>
      </c>
      <c r="D157" s="2">
        <v>58532</v>
      </c>
      <c r="E157" s="2">
        <v>10</v>
      </c>
      <c r="F157" s="2">
        <v>2</v>
      </c>
      <c r="G157" s="2">
        <v>1</v>
      </c>
      <c r="H157" s="2">
        <v>8</v>
      </c>
      <c r="I157" s="2" t="s">
        <v>19</v>
      </c>
      <c r="J157" s="2" t="s">
        <v>11</v>
      </c>
    </row>
    <row r="158" spans="1:10" x14ac:dyDescent="0.3">
      <c r="A158" s="2">
        <v>257</v>
      </c>
      <c r="B158" s="2">
        <v>31</v>
      </c>
      <c r="C158" s="2" t="s">
        <v>16</v>
      </c>
      <c r="D158" s="2">
        <v>55594</v>
      </c>
      <c r="E158" s="2">
        <v>6</v>
      </c>
      <c r="F158" s="2">
        <v>5</v>
      </c>
      <c r="G158" s="2">
        <v>5</v>
      </c>
      <c r="H158" s="2">
        <v>2</v>
      </c>
      <c r="I158" s="2" t="s">
        <v>17</v>
      </c>
      <c r="J158" s="2" t="s">
        <v>14</v>
      </c>
    </row>
    <row r="159" spans="1:10" x14ac:dyDescent="0.3">
      <c r="A159" s="2">
        <v>258</v>
      </c>
      <c r="B159" s="2">
        <v>26</v>
      </c>
      <c r="C159" s="2" t="s">
        <v>16</v>
      </c>
      <c r="D159" s="2">
        <v>63976</v>
      </c>
      <c r="E159" s="2">
        <v>10</v>
      </c>
      <c r="F159" s="2">
        <v>2</v>
      </c>
      <c r="G159" s="2">
        <v>2</v>
      </c>
      <c r="H159" s="2">
        <v>10</v>
      </c>
      <c r="I159" s="2" t="s">
        <v>17</v>
      </c>
      <c r="J159" s="2" t="s">
        <v>11</v>
      </c>
    </row>
    <row r="160" spans="1:10" x14ac:dyDescent="0.3">
      <c r="A160" s="2">
        <v>259</v>
      </c>
      <c r="B160" s="2">
        <v>26</v>
      </c>
      <c r="C160" s="2" t="s">
        <v>21</v>
      </c>
      <c r="D160" s="2">
        <v>68121</v>
      </c>
      <c r="E160" s="2">
        <v>10</v>
      </c>
      <c r="F160" s="2">
        <v>2</v>
      </c>
      <c r="G160" s="2">
        <v>1</v>
      </c>
      <c r="H160" s="2">
        <v>6</v>
      </c>
      <c r="I160" s="2" t="s">
        <v>22</v>
      </c>
      <c r="J160" s="2" t="s">
        <v>11</v>
      </c>
    </row>
    <row r="161" spans="1:10" x14ac:dyDescent="0.3">
      <c r="A161" s="2">
        <v>260</v>
      </c>
      <c r="B161" s="2">
        <v>32</v>
      </c>
      <c r="C161" s="2" t="s">
        <v>18</v>
      </c>
      <c r="D161" s="2">
        <v>43916</v>
      </c>
      <c r="E161" s="2">
        <v>6</v>
      </c>
      <c r="F161" s="2">
        <v>5</v>
      </c>
      <c r="G161" s="2">
        <v>1</v>
      </c>
      <c r="H161" s="2">
        <v>10</v>
      </c>
      <c r="I161" s="2" t="s">
        <v>19</v>
      </c>
      <c r="J161" s="2" t="s">
        <v>11</v>
      </c>
    </row>
    <row r="162" spans="1:10" x14ac:dyDescent="0.3">
      <c r="A162" s="2">
        <v>261</v>
      </c>
      <c r="B162" s="2">
        <v>35</v>
      </c>
      <c r="C162" s="2" t="s">
        <v>9</v>
      </c>
      <c r="D162" s="2">
        <v>54121</v>
      </c>
      <c r="E162" s="2">
        <v>10</v>
      </c>
      <c r="F162" s="2">
        <v>2</v>
      </c>
      <c r="G162" s="2">
        <v>3</v>
      </c>
      <c r="H162" s="2">
        <v>9</v>
      </c>
      <c r="I162" s="2" t="s">
        <v>10</v>
      </c>
      <c r="J162" s="2" t="s">
        <v>11</v>
      </c>
    </row>
    <row r="163" spans="1:10" x14ac:dyDescent="0.3">
      <c r="A163" s="2">
        <v>262</v>
      </c>
      <c r="B163" s="2">
        <v>25</v>
      </c>
      <c r="C163" s="2" t="s">
        <v>21</v>
      </c>
      <c r="D163" s="2">
        <v>49383</v>
      </c>
      <c r="E163" s="2">
        <v>9</v>
      </c>
      <c r="F163" s="2">
        <v>3</v>
      </c>
      <c r="G163" s="2">
        <v>3</v>
      </c>
      <c r="H163" s="2">
        <v>7</v>
      </c>
      <c r="I163" s="2" t="s">
        <v>10</v>
      </c>
      <c r="J163" s="2" t="s">
        <v>14</v>
      </c>
    </row>
    <row r="164" spans="1:10" x14ac:dyDescent="0.3">
      <c r="A164" s="2">
        <v>263</v>
      </c>
      <c r="B164" s="2">
        <v>22</v>
      </c>
      <c r="C164" s="2" t="s">
        <v>9</v>
      </c>
      <c r="D164" s="2">
        <v>45772</v>
      </c>
      <c r="E164" s="2">
        <v>10</v>
      </c>
      <c r="F164" s="2">
        <v>2</v>
      </c>
      <c r="G164" s="2">
        <v>1</v>
      </c>
      <c r="H164" s="2">
        <v>1</v>
      </c>
      <c r="I164" s="2" t="s">
        <v>10</v>
      </c>
      <c r="J164" s="2" t="s">
        <v>11</v>
      </c>
    </row>
    <row r="165" spans="1:10" x14ac:dyDescent="0.3">
      <c r="A165" s="2">
        <v>264</v>
      </c>
      <c r="B165" s="2">
        <v>42</v>
      </c>
      <c r="C165" s="2" t="s">
        <v>12</v>
      </c>
      <c r="D165" s="2">
        <v>88247</v>
      </c>
      <c r="E165" s="2">
        <v>10</v>
      </c>
      <c r="F165" s="2">
        <v>2</v>
      </c>
      <c r="G165" s="2">
        <v>3</v>
      </c>
      <c r="H165" s="2">
        <v>4</v>
      </c>
      <c r="I165" s="2" t="s">
        <v>13</v>
      </c>
      <c r="J165" s="2" t="s">
        <v>11</v>
      </c>
    </row>
    <row r="166" spans="1:10" x14ac:dyDescent="0.3">
      <c r="A166" s="2">
        <v>265</v>
      </c>
      <c r="B166" s="2">
        <v>30</v>
      </c>
      <c r="C166" s="2" t="s">
        <v>12</v>
      </c>
      <c r="D166" s="2">
        <v>57847</v>
      </c>
      <c r="E166" s="2">
        <v>8</v>
      </c>
      <c r="F166" s="2">
        <v>4</v>
      </c>
      <c r="G166" s="2">
        <v>4</v>
      </c>
      <c r="H166" s="2">
        <v>8</v>
      </c>
      <c r="I166" s="2" t="s">
        <v>13</v>
      </c>
      <c r="J166" s="2" t="s">
        <v>14</v>
      </c>
    </row>
    <row r="167" spans="1:10" x14ac:dyDescent="0.3">
      <c r="A167" s="2">
        <v>266</v>
      </c>
      <c r="B167" s="2">
        <v>40</v>
      </c>
      <c r="C167" s="2" t="s">
        <v>12</v>
      </c>
      <c r="D167" s="2">
        <v>84706</v>
      </c>
      <c r="E167" s="2">
        <v>7</v>
      </c>
      <c r="F167" s="2">
        <v>5</v>
      </c>
      <c r="G167" s="2">
        <v>5</v>
      </c>
      <c r="H167" s="2">
        <v>9</v>
      </c>
      <c r="I167" s="2" t="s">
        <v>15</v>
      </c>
      <c r="J167" s="2" t="s">
        <v>14</v>
      </c>
    </row>
    <row r="168" spans="1:10" x14ac:dyDescent="0.3">
      <c r="A168" s="2">
        <v>267</v>
      </c>
      <c r="B168" s="2">
        <v>25</v>
      </c>
      <c r="C168" s="2" t="s">
        <v>18</v>
      </c>
      <c r="D168" s="2">
        <v>28960</v>
      </c>
      <c r="E168" s="2">
        <v>9</v>
      </c>
      <c r="F168" s="2">
        <v>3</v>
      </c>
      <c r="G168" s="2">
        <v>2</v>
      </c>
      <c r="H168" s="2">
        <v>9</v>
      </c>
      <c r="I168" s="2" t="s">
        <v>19</v>
      </c>
      <c r="J168" s="2" t="s">
        <v>11</v>
      </c>
    </row>
    <row r="169" spans="1:10" x14ac:dyDescent="0.3">
      <c r="A169" s="2">
        <v>268</v>
      </c>
      <c r="B169" s="2">
        <v>30</v>
      </c>
      <c r="C169" s="2" t="s">
        <v>18</v>
      </c>
      <c r="D169" s="2">
        <v>57449</v>
      </c>
      <c r="E169" s="2">
        <v>10</v>
      </c>
      <c r="F169" s="2">
        <v>2</v>
      </c>
      <c r="G169" s="2">
        <v>5</v>
      </c>
      <c r="H169" s="2">
        <v>3</v>
      </c>
      <c r="I169" s="2" t="s">
        <v>19</v>
      </c>
      <c r="J169" s="2" t="s">
        <v>11</v>
      </c>
    </row>
    <row r="170" spans="1:10" x14ac:dyDescent="0.3">
      <c r="A170" s="2">
        <v>269</v>
      </c>
      <c r="B170" s="2">
        <v>43</v>
      </c>
      <c r="C170" s="2" t="s">
        <v>18</v>
      </c>
      <c r="D170" s="2">
        <v>32921</v>
      </c>
      <c r="E170" s="2">
        <v>7</v>
      </c>
      <c r="F170" s="2">
        <v>5</v>
      </c>
      <c r="G170" s="2">
        <v>3</v>
      </c>
      <c r="H170" s="2">
        <v>4</v>
      </c>
      <c r="I170" s="2" t="s">
        <v>19</v>
      </c>
      <c r="J170" s="2" t="s">
        <v>11</v>
      </c>
    </row>
    <row r="171" spans="1:10" x14ac:dyDescent="0.3">
      <c r="A171" s="2">
        <v>270</v>
      </c>
      <c r="B171" s="2">
        <v>36</v>
      </c>
      <c r="C171" s="2" t="s">
        <v>21</v>
      </c>
      <c r="D171" s="2">
        <v>81772</v>
      </c>
      <c r="E171" s="2">
        <v>9</v>
      </c>
      <c r="F171" s="2">
        <v>3</v>
      </c>
      <c r="G171" s="2">
        <v>4</v>
      </c>
      <c r="H171" s="2">
        <v>9</v>
      </c>
      <c r="I171" s="2" t="s">
        <v>22</v>
      </c>
      <c r="J171" s="2" t="s">
        <v>14</v>
      </c>
    </row>
    <row r="172" spans="1:10" x14ac:dyDescent="0.3">
      <c r="A172" s="2">
        <v>271</v>
      </c>
      <c r="B172" s="2">
        <v>45</v>
      </c>
      <c r="C172" s="2" t="s">
        <v>18</v>
      </c>
      <c r="D172" s="2">
        <v>87836</v>
      </c>
      <c r="E172" s="2">
        <v>9</v>
      </c>
      <c r="F172" s="2">
        <v>3</v>
      </c>
      <c r="G172" s="2">
        <v>5</v>
      </c>
      <c r="H172" s="2">
        <v>10</v>
      </c>
      <c r="I172" s="2" t="s">
        <v>19</v>
      </c>
      <c r="J172" s="2" t="s">
        <v>14</v>
      </c>
    </row>
    <row r="173" spans="1:10" x14ac:dyDescent="0.3">
      <c r="A173" s="2">
        <v>272</v>
      </c>
      <c r="B173" s="2">
        <v>43</v>
      </c>
      <c r="C173" s="2" t="s">
        <v>21</v>
      </c>
      <c r="D173" s="2">
        <v>66554</v>
      </c>
      <c r="E173" s="2">
        <v>10</v>
      </c>
      <c r="F173" s="2">
        <v>2</v>
      </c>
      <c r="G173" s="2">
        <v>2</v>
      </c>
      <c r="H173" s="2">
        <v>7</v>
      </c>
      <c r="I173" s="2" t="s">
        <v>22</v>
      </c>
      <c r="J173" s="2" t="s">
        <v>11</v>
      </c>
    </row>
    <row r="174" spans="1:10" x14ac:dyDescent="0.3">
      <c r="A174" s="2">
        <v>273</v>
      </c>
      <c r="B174" s="2">
        <v>28</v>
      </c>
      <c r="C174" s="2" t="s">
        <v>18</v>
      </c>
      <c r="D174" s="2">
        <v>79582</v>
      </c>
      <c r="E174" s="2">
        <v>6</v>
      </c>
      <c r="F174" s="2">
        <v>5</v>
      </c>
      <c r="G174" s="2">
        <v>3</v>
      </c>
      <c r="H174" s="2">
        <v>0</v>
      </c>
      <c r="I174" s="2" t="s">
        <v>19</v>
      </c>
      <c r="J174" s="2" t="s">
        <v>14</v>
      </c>
    </row>
    <row r="175" spans="1:10" x14ac:dyDescent="0.3">
      <c r="A175" s="2">
        <v>274</v>
      </c>
      <c r="B175" s="2">
        <v>44</v>
      </c>
      <c r="C175" s="2" t="s">
        <v>12</v>
      </c>
      <c r="D175" s="2">
        <v>73689</v>
      </c>
      <c r="E175" s="2">
        <v>7</v>
      </c>
      <c r="F175" s="2">
        <v>5</v>
      </c>
      <c r="G175" s="2">
        <v>5</v>
      </c>
      <c r="H175" s="2">
        <v>4</v>
      </c>
      <c r="I175" s="2" t="s">
        <v>13</v>
      </c>
      <c r="J175" s="2" t="s">
        <v>14</v>
      </c>
    </row>
    <row r="176" spans="1:10" x14ac:dyDescent="0.3">
      <c r="A176" s="2">
        <v>275</v>
      </c>
      <c r="B176" s="2">
        <v>39</v>
      </c>
      <c r="C176" s="2" t="s">
        <v>16</v>
      </c>
      <c r="D176" s="2">
        <v>89860</v>
      </c>
      <c r="E176" s="2">
        <v>10</v>
      </c>
      <c r="F176" s="2">
        <v>2</v>
      </c>
      <c r="G176" s="2">
        <v>2</v>
      </c>
      <c r="H176" s="2">
        <v>5</v>
      </c>
      <c r="I176" s="2" t="s">
        <v>17</v>
      </c>
      <c r="J176" s="2" t="s">
        <v>11</v>
      </c>
    </row>
    <row r="177" spans="1:10" x14ac:dyDescent="0.3">
      <c r="A177" s="2">
        <v>276</v>
      </c>
      <c r="B177" s="2">
        <v>23</v>
      </c>
      <c r="C177" s="2" t="s">
        <v>21</v>
      </c>
      <c r="D177" s="2">
        <v>87108</v>
      </c>
      <c r="E177" s="2">
        <v>7</v>
      </c>
      <c r="F177" s="2">
        <v>5</v>
      </c>
      <c r="G177" s="2">
        <v>3</v>
      </c>
      <c r="H177" s="2">
        <v>2</v>
      </c>
      <c r="I177" s="2" t="s">
        <v>10</v>
      </c>
      <c r="J177" s="2" t="s">
        <v>14</v>
      </c>
    </row>
    <row r="178" spans="1:10" x14ac:dyDescent="0.3">
      <c r="A178" s="2">
        <v>277</v>
      </c>
      <c r="B178" s="2">
        <v>23</v>
      </c>
      <c r="C178" s="2" t="s">
        <v>18</v>
      </c>
      <c r="D178" s="2">
        <v>89427</v>
      </c>
      <c r="E178" s="2">
        <v>9</v>
      </c>
      <c r="F178" s="2">
        <v>3</v>
      </c>
      <c r="G178" s="2">
        <v>4</v>
      </c>
      <c r="H178" s="2">
        <v>8</v>
      </c>
      <c r="I178" s="2" t="s">
        <v>19</v>
      </c>
      <c r="J178" s="2" t="s">
        <v>14</v>
      </c>
    </row>
    <row r="179" spans="1:10" x14ac:dyDescent="0.3">
      <c r="A179" s="2">
        <v>278</v>
      </c>
      <c r="B179" s="2">
        <v>36</v>
      </c>
      <c r="C179" s="2" t="s">
        <v>16</v>
      </c>
      <c r="D179" s="2">
        <v>76804</v>
      </c>
      <c r="E179" s="2">
        <v>8</v>
      </c>
      <c r="F179" s="2">
        <v>4</v>
      </c>
      <c r="G179" s="2">
        <v>3</v>
      </c>
      <c r="H179" s="2">
        <v>1</v>
      </c>
      <c r="I179" s="2" t="s">
        <v>17</v>
      </c>
      <c r="J179" s="2" t="s">
        <v>14</v>
      </c>
    </row>
    <row r="180" spans="1:10" x14ac:dyDescent="0.3">
      <c r="A180" s="2">
        <v>279</v>
      </c>
      <c r="B180" s="2">
        <v>31</v>
      </c>
      <c r="C180" s="2" t="s">
        <v>12</v>
      </c>
      <c r="D180" s="2">
        <v>26958</v>
      </c>
      <c r="E180" s="2">
        <v>9</v>
      </c>
      <c r="F180" s="2">
        <v>3</v>
      </c>
      <c r="G180" s="2">
        <v>1</v>
      </c>
      <c r="H180" s="2">
        <v>6</v>
      </c>
      <c r="I180" s="2" t="s">
        <v>15</v>
      </c>
      <c r="J180" s="2" t="s">
        <v>11</v>
      </c>
    </row>
    <row r="181" spans="1:10" x14ac:dyDescent="0.3">
      <c r="A181" s="2">
        <v>280</v>
      </c>
      <c r="B181" s="2">
        <v>30</v>
      </c>
      <c r="C181" s="2" t="s">
        <v>21</v>
      </c>
      <c r="D181" s="2">
        <v>36476</v>
      </c>
      <c r="E181" s="2">
        <v>10</v>
      </c>
      <c r="F181" s="2">
        <v>2</v>
      </c>
      <c r="G181" s="2">
        <v>4</v>
      </c>
      <c r="H181" s="2">
        <v>6</v>
      </c>
      <c r="I181" s="2" t="s">
        <v>10</v>
      </c>
      <c r="J181" s="2" t="s">
        <v>11</v>
      </c>
    </row>
    <row r="182" spans="1:10" x14ac:dyDescent="0.3">
      <c r="A182" s="2">
        <v>281</v>
      </c>
      <c r="B182" s="2">
        <v>44</v>
      </c>
      <c r="C182" s="2" t="s">
        <v>16</v>
      </c>
      <c r="D182" s="2">
        <v>45357</v>
      </c>
      <c r="E182" s="2">
        <v>7</v>
      </c>
      <c r="F182" s="2">
        <v>5</v>
      </c>
      <c r="G182" s="2">
        <v>2</v>
      </c>
      <c r="H182" s="2">
        <v>2</v>
      </c>
      <c r="I182" s="2" t="s">
        <v>17</v>
      </c>
      <c r="J182" s="2" t="s">
        <v>11</v>
      </c>
    </row>
    <row r="183" spans="1:10" x14ac:dyDescent="0.3">
      <c r="A183" s="2">
        <v>282</v>
      </c>
      <c r="B183" s="2">
        <v>28</v>
      </c>
      <c r="C183" s="2" t="s">
        <v>16</v>
      </c>
      <c r="D183" s="2">
        <v>35787</v>
      </c>
      <c r="E183" s="2">
        <v>6</v>
      </c>
      <c r="F183" s="2">
        <v>5</v>
      </c>
      <c r="G183" s="2">
        <v>3</v>
      </c>
      <c r="H183" s="2">
        <v>5</v>
      </c>
      <c r="I183" s="2" t="s">
        <v>17</v>
      </c>
      <c r="J183" s="2" t="s">
        <v>11</v>
      </c>
    </row>
    <row r="184" spans="1:10" x14ac:dyDescent="0.3">
      <c r="A184" s="2">
        <v>283</v>
      </c>
      <c r="B184" s="2">
        <v>22</v>
      </c>
      <c r="C184" s="2" t="s">
        <v>12</v>
      </c>
      <c r="D184" s="2">
        <v>69469</v>
      </c>
      <c r="E184" s="2">
        <v>8</v>
      </c>
      <c r="F184" s="2">
        <v>4</v>
      </c>
      <c r="G184" s="2">
        <v>5</v>
      </c>
      <c r="H184" s="2">
        <v>8</v>
      </c>
      <c r="I184" s="2" t="s">
        <v>15</v>
      </c>
      <c r="J184" s="2" t="s">
        <v>14</v>
      </c>
    </row>
    <row r="185" spans="1:10" x14ac:dyDescent="0.3">
      <c r="A185" s="2">
        <v>284</v>
      </c>
      <c r="B185" s="2">
        <v>43</v>
      </c>
      <c r="C185" s="2" t="s">
        <v>9</v>
      </c>
      <c r="D185" s="2">
        <v>62148</v>
      </c>
      <c r="E185" s="2">
        <v>8</v>
      </c>
      <c r="F185" s="2">
        <v>4</v>
      </c>
      <c r="G185" s="2">
        <v>1</v>
      </c>
      <c r="H185" s="2">
        <v>7</v>
      </c>
      <c r="I185" s="2" t="s">
        <v>20</v>
      </c>
      <c r="J185" s="2" t="s">
        <v>11</v>
      </c>
    </row>
    <row r="186" spans="1:10" x14ac:dyDescent="0.3">
      <c r="A186" s="2">
        <v>285</v>
      </c>
      <c r="B186" s="2">
        <v>28</v>
      </c>
      <c r="C186" s="2" t="s">
        <v>12</v>
      </c>
      <c r="D186" s="2">
        <v>81256</v>
      </c>
      <c r="E186" s="2">
        <v>9</v>
      </c>
      <c r="F186" s="2">
        <v>3</v>
      </c>
      <c r="G186" s="2">
        <v>1</v>
      </c>
      <c r="H186" s="2">
        <v>6</v>
      </c>
      <c r="I186" s="2" t="s">
        <v>13</v>
      </c>
      <c r="J186" s="2" t="s">
        <v>11</v>
      </c>
    </row>
    <row r="187" spans="1:10" x14ac:dyDescent="0.3">
      <c r="A187" s="2">
        <v>286</v>
      </c>
      <c r="B187" s="2">
        <v>36</v>
      </c>
      <c r="C187" s="2" t="s">
        <v>18</v>
      </c>
      <c r="D187" s="2">
        <v>37699</v>
      </c>
      <c r="E187" s="2">
        <v>7</v>
      </c>
      <c r="F187" s="2">
        <v>5</v>
      </c>
      <c r="G187" s="2">
        <v>4</v>
      </c>
      <c r="H187" s="2">
        <v>0</v>
      </c>
      <c r="I187" s="2" t="s">
        <v>19</v>
      </c>
      <c r="J187" s="2" t="s">
        <v>11</v>
      </c>
    </row>
    <row r="188" spans="1:10" x14ac:dyDescent="0.3">
      <c r="A188" s="2">
        <v>287</v>
      </c>
      <c r="B188" s="2">
        <v>43</v>
      </c>
      <c r="C188" s="2" t="s">
        <v>12</v>
      </c>
      <c r="D188" s="2">
        <v>62152</v>
      </c>
      <c r="E188" s="2">
        <v>8</v>
      </c>
      <c r="F188" s="2">
        <v>4</v>
      </c>
      <c r="G188" s="2">
        <v>1</v>
      </c>
      <c r="H188" s="2">
        <v>1</v>
      </c>
      <c r="I188" s="2" t="s">
        <v>13</v>
      </c>
      <c r="J188" s="2" t="s">
        <v>11</v>
      </c>
    </row>
    <row r="189" spans="1:10" x14ac:dyDescent="0.3">
      <c r="A189" s="2">
        <v>288</v>
      </c>
      <c r="B189" s="2">
        <v>40</v>
      </c>
      <c r="C189" s="2" t="s">
        <v>18</v>
      </c>
      <c r="D189" s="2">
        <v>81393</v>
      </c>
      <c r="E189" s="2">
        <v>9</v>
      </c>
      <c r="F189" s="2">
        <v>3</v>
      </c>
      <c r="G189" s="2">
        <v>5</v>
      </c>
      <c r="H189" s="2">
        <v>2</v>
      </c>
      <c r="I189" s="2" t="s">
        <v>19</v>
      </c>
      <c r="J189" s="2" t="s">
        <v>14</v>
      </c>
    </row>
    <row r="190" spans="1:10" x14ac:dyDescent="0.3">
      <c r="A190" s="2">
        <v>289</v>
      </c>
      <c r="B190" s="2">
        <v>35</v>
      </c>
      <c r="C190" s="2" t="s">
        <v>18</v>
      </c>
      <c r="D190" s="2">
        <v>50900</v>
      </c>
      <c r="E190" s="2">
        <v>10</v>
      </c>
      <c r="F190" s="2">
        <v>2</v>
      </c>
      <c r="G190" s="2">
        <v>4</v>
      </c>
      <c r="H190" s="2">
        <v>1</v>
      </c>
      <c r="I190" s="2" t="s">
        <v>19</v>
      </c>
      <c r="J190" s="2" t="s">
        <v>11</v>
      </c>
    </row>
    <row r="191" spans="1:10" x14ac:dyDescent="0.3">
      <c r="A191" s="2">
        <v>290</v>
      </c>
      <c r="B191" s="2">
        <v>45</v>
      </c>
      <c r="C191" s="2" t="s">
        <v>16</v>
      </c>
      <c r="D191" s="2">
        <v>29085</v>
      </c>
      <c r="E191" s="2">
        <v>7</v>
      </c>
      <c r="F191" s="2">
        <v>5</v>
      </c>
      <c r="G191" s="2">
        <v>4</v>
      </c>
      <c r="H191" s="2">
        <v>10</v>
      </c>
      <c r="I191" s="2" t="s">
        <v>17</v>
      </c>
      <c r="J191" s="2" t="s">
        <v>11</v>
      </c>
    </row>
    <row r="192" spans="1:10" x14ac:dyDescent="0.3">
      <c r="A192" s="2">
        <v>291</v>
      </c>
      <c r="B192" s="2">
        <v>25</v>
      </c>
      <c r="C192" s="2" t="s">
        <v>9</v>
      </c>
      <c r="D192" s="2">
        <v>31110</v>
      </c>
      <c r="E192" s="2">
        <v>8</v>
      </c>
      <c r="F192" s="2">
        <v>4</v>
      </c>
      <c r="G192" s="2">
        <v>2</v>
      </c>
      <c r="H192" s="2">
        <v>2</v>
      </c>
      <c r="I192" s="2" t="s">
        <v>10</v>
      </c>
      <c r="J192" s="2" t="s">
        <v>11</v>
      </c>
    </row>
    <row r="193" spans="1:10" x14ac:dyDescent="0.3">
      <c r="A193" s="2">
        <v>292</v>
      </c>
      <c r="B193" s="2">
        <v>32</v>
      </c>
      <c r="C193" s="2" t="s">
        <v>12</v>
      </c>
      <c r="D193" s="2">
        <v>69841</v>
      </c>
      <c r="E193" s="2">
        <v>10</v>
      </c>
      <c r="F193" s="2">
        <v>2</v>
      </c>
      <c r="G193" s="2">
        <v>5</v>
      </c>
      <c r="H193" s="2">
        <v>4</v>
      </c>
      <c r="I193" s="2" t="s">
        <v>13</v>
      </c>
      <c r="J193" s="2" t="s">
        <v>11</v>
      </c>
    </row>
    <row r="194" spans="1:10" x14ac:dyDescent="0.3">
      <c r="A194" s="2">
        <v>293</v>
      </c>
      <c r="B194" s="2">
        <v>23</v>
      </c>
      <c r="C194" s="2" t="s">
        <v>12</v>
      </c>
      <c r="D194" s="2">
        <v>31957</v>
      </c>
      <c r="E194" s="2">
        <v>6</v>
      </c>
      <c r="F194" s="2">
        <v>5</v>
      </c>
      <c r="G194" s="2">
        <v>5</v>
      </c>
      <c r="H194" s="2">
        <v>6</v>
      </c>
      <c r="I194" s="2" t="s">
        <v>15</v>
      </c>
      <c r="J194" s="2" t="s">
        <v>11</v>
      </c>
    </row>
    <row r="195" spans="1:10" x14ac:dyDescent="0.3">
      <c r="A195" s="2">
        <v>294</v>
      </c>
      <c r="B195" s="2">
        <v>37</v>
      </c>
      <c r="C195" s="2" t="s">
        <v>16</v>
      </c>
      <c r="D195" s="2">
        <v>26039</v>
      </c>
      <c r="E195" s="2">
        <v>6</v>
      </c>
      <c r="F195" s="2">
        <v>5</v>
      </c>
      <c r="G195" s="2">
        <v>1</v>
      </c>
      <c r="H195" s="2">
        <v>0</v>
      </c>
      <c r="I195" s="2" t="s">
        <v>17</v>
      </c>
      <c r="J195" s="2" t="s">
        <v>11</v>
      </c>
    </row>
    <row r="196" spans="1:10" x14ac:dyDescent="0.3">
      <c r="A196" s="2">
        <v>295</v>
      </c>
      <c r="B196" s="2">
        <v>45</v>
      </c>
      <c r="C196" s="2" t="s">
        <v>16</v>
      </c>
      <c r="D196" s="2">
        <v>60520</v>
      </c>
      <c r="E196" s="2">
        <v>9</v>
      </c>
      <c r="F196" s="2">
        <v>3</v>
      </c>
      <c r="G196" s="2">
        <v>4</v>
      </c>
      <c r="H196" s="2">
        <v>4</v>
      </c>
      <c r="I196" s="2" t="s">
        <v>17</v>
      </c>
      <c r="J196" s="2" t="s">
        <v>14</v>
      </c>
    </row>
    <row r="197" spans="1:10" x14ac:dyDescent="0.3">
      <c r="A197" s="2">
        <v>296</v>
      </c>
      <c r="B197" s="2">
        <v>40</v>
      </c>
      <c r="C197" s="2" t="s">
        <v>21</v>
      </c>
      <c r="D197" s="2">
        <v>38226</v>
      </c>
      <c r="E197" s="2">
        <v>6</v>
      </c>
      <c r="F197" s="2">
        <v>5</v>
      </c>
      <c r="G197" s="2">
        <v>1</v>
      </c>
      <c r="H197" s="2">
        <v>1</v>
      </c>
      <c r="I197" s="2" t="s">
        <v>22</v>
      </c>
      <c r="J197" s="2" t="s">
        <v>11</v>
      </c>
    </row>
    <row r="198" spans="1:10" x14ac:dyDescent="0.3">
      <c r="A198" s="2">
        <v>297</v>
      </c>
      <c r="B198" s="2">
        <v>22</v>
      </c>
      <c r="C198" s="2" t="s">
        <v>12</v>
      </c>
      <c r="D198" s="2">
        <v>86460</v>
      </c>
      <c r="E198" s="2">
        <v>7</v>
      </c>
      <c r="F198" s="2">
        <v>5</v>
      </c>
      <c r="G198" s="2">
        <v>5</v>
      </c>
      <c r="H198" s="2">
        <v>7</v>
      </c>
      <c r="I198" s="2" t="s">
        <v>13</v>
      </c>
      <c r="J198" s="2" t="s">
        <v>14</v>
      </c>
    </row>
    <row r="199" spans="1:10" x14ac:dyDescent="0.3">
      <c r="A199" s="2">
        <v>298</v>
      </c>
      <c r="B199" s="2">
        <v>29</v>
      </c>
      <c r="C199" s="2" t="s">
        <v>12</v>
      </c>
      <c r="D199" s="2">
        <v>31257</v>
      </c>
      <c r="E199" s="2">
        <v>8</v>
      </c>
      <c r="F199" s="2">
        <v>4</v>
      </c>
      <c r="G199" s="2">
        <v>2</v>
      </c>
      <c r="H199" s="2">
        <v>4</v>
      </c>
      <c r="I199" s="2" t="s">
        <v>15</v>
      </c>
      <c r="J199" s="2" t="s">
        <v>11</v>
      </c>
    </row>
    <row r="200" spans="1:10" x14ac:dyDescent="0.3">
      <c r="A200" s="2">
        <v>299</v>
      </c>
      <c r="B200" s="2">
        <v>41</v>
      </c>
      <c r="C200" s="2" t="s">
        <v>21</v>
      </c>
      <c r="D200" s="2">
        <v>64638</v>
      </c>
      <c r="E200" s="2">
        <v>7</v>
      </c>
      <c r="F200" s="2">
        <v>5</v>
      </c>
      <c r="G200" s="2">
        <v>1</v>
      </c>
      <c r="H200" s="2">
        <v>10</v>
      </c>
      <c r="I200" s="2" t="s">
        <v>22</v>
      </c>
      <c r="J200" s="2" t="s">
        <v>11</v>
      </c>
    </row>
    <row r="201" spans="1:10" x14ac:dyDescent="0.3">
      <c r="A201" s="2">
        <v>300</v>
      </c>
      <c r="B201" s="2">
        <v>23</v>
      </c>
      <c r="C201" s="2" t="s">
        <v>12</v>
      </c>
      <c r="D201" s="2">
        <v>57459</v>
      </c>
      <c r="E201" s="2">
        <v>10</v>
      </c>
      <c r="F201" s="2">
        <v>2</v>
      </c>
      <c r="G201" s="2">
        <v>5</v>
      </c>
      <c r="H201" s="2">
        <v>10</v>
      </c>
      <c r="I201" s="2" t="s">
        <v>13</v>
      </c>
      <c r="J201" s="2" t="s">
        <v>11</v>
      </c>
    </row>
  </sheetData>
  <conditionalFormatting sqref="E1:E1048576">
    <cfRule type="cellIs" dxfId="35" priority="8" operator="greaterThanOrEqual">
      <formula>9</formula>
    </cfRule>
    <cfRule type="cellIs" dxfId="34" priority="7" operator="lessThanOrEqual">
      <formula>8</formula>
    </cfRule>
  </conditionalFormatting>
  <conditionalFormatting sqref="F1:F1048576">
    <cfRule type="cellIs" dxfId="33" priority="6" operator="greaterThanOrEqual">
      <formula>4</formula>
    </cfRule>
    <cfRule type="cellIs" dxfId="32" priority="5" operator="equal">
      <formula>3</formula>
    </cfRule>
    <cfRule type="cellIs" dxfId="31" priority="3" operator="lessThanOrEqual">
      <formula>2</formula>
    </cfRule>
  </conditionalFormatting>
  <conditionalFormatting sqref="F3">
    <cfRule type="cellIs" dxfId="30" priority="4" operator="lessThanOrEqual">
      <formula>2</formula>
    </cfRule>
  </conditionalFormatting>
  <conditionalFormatting sqref="G1:G1048576">
    <cfRule type="cellIs" dxfId="29" priority="2" operator="greaterThanOrEqual">
      <formula>4</formula>
    </cfRule>
    <cfRule type="cellIs" dxfId="28" priority="1" operator="equal">
      <formula>3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D85E-0C46-457F-9A1A-93B330CC02CD}">
  <dimension ref="A3:B6"/>
  <sheetViews>
    <sheetView workbookViewId="0">
      <selection activeCell="AF19" sqref="AF19"/>
    </sheetView>
  </sheetViews>
  <sheetFormatPr defaultRowHeight="14.4" x14ac:dyDescent="0.3"/>
  <cols>
    <col min="1" max="1" width="12.5546875" bestFit="1" customWidth="1"/>
    <col min="2" max="2" width="20.109375" bestFit="1" customWidth="1"/>
    <col min="3" max="201" width="4" bestFit="1" customWidth="1"/>
    <col min="202" max="202" width="10.77734375" bestFit="1" customWidth="1"/>
  </cols>
  <sheetData>
    <row r="3" spans="1:2" x14ac:dyDescent="0.3">
      <c r="A3" s="9" t="s">
        <v>39</v>
      </c>
      <c r="B3" t="s">
        <v>40</v>
      </c>
    </row>
    <row r="4" spans="1:2" x14ac:dyDescent="0.3">
      <c r="A4" s="10" t="s">
        <v>14</v>
      </c>
      <c r="B4" s="11">
        <v>65</v>
      </c>
    </row>
    <row r="5" spans="1:2" x14ac:dyDescent="0.3">
      <c r="A5" s="10" t="s">
        <v>11</v>
      </c>
      <c r="B5" s="11">
        <v>135</v>
      </c>
    </row>
    <row r="6" spans="1:2" x14ac:dyDescent="0.3">
      <c r="A6" s="10" t="s">
        <v>38</v>
      </c>
      <c r="B6" s="11">
        <v>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6E7F-B942-4D5C-9C0C-12DBCB8CA615}">
  <dimension ref="A3:D10"/>
  <sheetViews>
    <sheetView workbookViewId="0">
      <selection activeCell="C29" sqref="C29"/>
    </sheetView>
  </sheetViews>
  <sheetFormatPr defaultRowHeight="14.4" x14ac:dyDescent="0.3"/>
  <cols>
    <col min="1" max="1" width="20.109375" bestFit="1" customWidth="1"/>
    <col min="2" max="2" width="15.5546875" bestFit="1" customWidth="1"/>
    <col min="3" max="3" width="4" bestFit="1" customWidth="1"/>
    <col min="4" max="4" width="10.77734375" bestFit="1" customWidth="1"/>
  </cols>
  <sheetData>
    <row r="3" spans="1:4" x14ac:dyDescent="0.3">
      <c r="A3" s="14" t="s">
        <v>40</v>
      </c>
      <c r="B3" s="14" t="s">
        <v>37</v>
      </c>
      <c r="C3" s="14"/>
      <c r="D3" s="14"/>
    </row>
    <row r="4" spans="1:4" x14ac:dyDescent="0.3">
      <c r="A4" s="15" t="s">
        <v>39</v>
      </c>
      <c r="B4" s="16" t="s">
        <v>14</v>
      </c>
      <c r="C4" s="16" t="s">
        <v>11</v>
      </c>
      <c r="D4" s="15" t="s">
        <v>38</v>
      </c>
    </row>
    <row r="5" spans="1:4" x14ac:dyDescent="0.3">
      <c r="A5" s="12" t="s">
        <v>21</v>
      </c>
      <c r="B5" s="13">
        <v>11</v>
      </c>
      <c r="C5" s="13">
        <v>26</v>
      </c>
      <c r="D5" s="13">
        <v>37</v>
      </c>
    </row>
    <row r="6" spans="1:4" x14ac:dyDescent="0.3">
      <c r="A6" s="12" t="s">
        <v>12</v>
      </c>
      <c r="B6" s="13">
        <v>18</v>
      </c>
      <c r="C6" s="13">
        <v>33</v>
      </c>
      <c r="D6" s="13">
        <v>51</v>
      </c>
    </row>
    <row r="7" spans="1:4" x14ac:dyDescent="0.3">
      <c r="A7" s="12" t="s">
        <v>16</v>
      </c>
      <c r="B7" s="13">
        <v>10</v>
      </c>
      <c r="C7" s="13">
        <v>27</v>
      </c>
      <c r="D7" s="13">
        <v>37</v>
      </c>
    </row>
    <row r="8" spans="1:4" x14ac:dyDescent="0.3">
      <c r="A8" s="12" t="s">
        <v>18</v>
      </c>
      <c r="B8" s="13">
        <v>17</v>
      </c>
      <c r="C8" s="13">
        <v>25</v>
      </c>
      <c r="D8" s="13">
        <v>42</v>
      </c>
    </row>
    <row r="9" spans="1:4" x14ac:dyDescent="0.3">
      <c r="A9" s="12" t="s">
        <v>9</v>
      </c>
      <c r="B9" s="13">
        <v>9</v>
      </c>
      <c r="C9" s="13">
        <v>24</v>
      </c>
      <c r="D9" s="13">
        <v>33</v>
      </c>
    </row>
    <row r="10" spans="1:4" x14ac:dyDescent="0.3">
      <c r="A10" s="12" t="s">
        <v>38</v>
      </c>
      <c r="B10" s="13">
        <v>65</v>
      </c>
      <c r="C10" s="13">
        <v>135</v>
      </c>
      <c r="D10" s="13">
        <v>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1"/>
  <sheetViews>
    <sheetView workbookViewId="0">
      <selection activeCell="H25" sqref="H25"/>
    </sheetView>
  </sheetViews>
  <sheetFormatPr defaultRowHeight="14.4" x14ac:dyDescent="0.3"/>
  <cols>
    <col min="1" max="1" width="20.109375" customWidth="1"/>
    <col min="2" max="2" width="20" customWidth="1"/>
    <col min="3" max="3" width="26" customWidth="1"/>
    <col min="4" max="4" width="15.6640625" customWidth="1"/>
    <col min="5" max="5" width="14.33203125" customWidth="1"/>
  </cols>
  <sheetData>
    <row r="1" spans="1:5" x14ac:dyDescent="0.3">
      <c r="A1" s="3" t="s">
        <v>23</v>
      </c>
      <c r="B1" s="4" t="s">
        <v>24</v>
      </c>
      <c r="C1" s="5" t="s">
        <v>25</v>
      </c>
      <c r="D1" s="6" t="s">
        <v>26</v>
      </c>
      <c r="E1" s="7" t="s">
        <v>27</v>
      </c>
    </row>
    <row r="2" spans="1:5" x14ac:dyDescent="0.3">
      <c r="A2" t="s">
        <v>28</v>
      </c>
      <c r="B2" t="s">
        <v>13</v>
      </c>
      <c r="C2">
        <v>0</v>
      </c>
      <c r="D2">
        <v>42751</v>
      </c>
      <c r="E2" t="s">
        <v>29</v>
      </c>
    </row>
    <row r="3" spans="1:5" x14ac:dyDescent="0.3">
      <c r="A3" t="s">
        <v>30</v>
      </c>
      <c r="B3" t="s">
        <v>10</v>
      </c>
      <c r="C3">
        <v>1</v>
      </c>
      <c r="D3">
        <v>68534</v>
      </c>
      <c r="E3" t="s">
        <v>31</v>
      </c>
    </row>
    <row r="4" spans="1:5" x14ac:dyDescent="0.3">
      <c r="A4" t="s">
        <v>32</v>
      </c>
      <c r="B4" t="s">
        <v>10</v>
      </c>
      <c r="C4">
        <v>3</v>
      </c>
      <c r="D4">
        <v>96151</v>
      </c>
      <c r="E4" t="s">
        <v>29</v>
      </c>
    </row>
    <row r="5" spans="1:5" x14ac:dyDescent="0.3">
      <c r="A5" t="s">
        <v>28</v>
      </c>
      <c r="B5" t="s">
        <v>10</v>
      </c>
      <c r="C5">
        <v>1</v>
      </c>
      <c r="D5">
        <v>75073</v>
      </c>
      <c r="E5" t="s">
        <v>29</v>
      </c>
    </row>
    <row r="6" spans="1:5" x14ac:dyDescent="0.3">
      <c r="A6" t="s">
        <v>30</v>
      </c>
      <c r="B6" t="s">
        <v>13</v>
      </c>
      <c r="C6">
        <v>2</v>
      </c>
      <c r="D6">
        <v>57898</v>
      </c>
      <c r="E6" t="s">
        <v>31</v>
      </c>
    </row>
    <row r="7" spans="1:5" x14ac:dyDescent="0.3">
      <c r="A7" t="s">
        <v>33</v>
      </c>
      <c r="B7" t="s">
        <v>10</v>
      </c>
      <c r="C7">
        <v>4</v>
      </c>
      <c r="D7">
        <v>82927</v>
      </c>
      <c r="E7" t="s">
        <v>31</v>
      </c>
    </row>
    <row r="8" spans="1:5" x14ac:dyDescent="0.3">
      <c r="A8" t="s">
        <v>28</v>
      </c>
      <c r="B8" t="s">
        <v>10</v>
      </c>
      <c r="C8">
        <v>2</v>
      </c>
      <c r="D8">
        <v>63447</v>
      </c>
      <c r="E8" t="s">
        <v>29</v>
      </c>
    </row>
    <row r="9" spans="1:5" x14ac:dyDescent="0.3">
      <c r="A9" t="s">
        <v>34</v>
      </c>
      <c r="B9" t="s">
        <v>15</v>
      </c>
      <c r="C9">
        <v>1</v>
      </c>
      <c r="D9">
        <v>44395</v>
      </c>
      <c r="E9" t="s">
        <v>29</v>
      </c>
    </row>
    <row r="10" spans="1:5" x14ac:dyDescent="0.3">
      <c r="A10" t="s">
        <v>30</v>
      </c>
      <c r="B10" t="s">
        <v>15</v>
      </c>
      <c r="C10">
        <v>0</v>
      </c>
      <c r="D10">
        <v>63532</v>
      </c>
      <c r="E10" t="s">
        <v>31</v>
      </c>
    </row>
    <row r="11" spans="1:5" x14ac:dyDescent="0.3">
      <c r="A11" t="s">
        <v>28</v>
      </c>
      <c r="B11" t="s">
        <v>17</v>
      </c>
      <c r="C11">
        <v>1</v>
      </c>
      <c r="D11">
        <v>35633</v>
      </c>
      <c r="E11" t="s">
        <v>29</v>
      </c>
    </row>
    <row r="12" spans="1:5" x14ac:dyDescent="0.3">
      <c r="A12" t="s">
        <v>33</v>
      </c>
      <c r="B12" t="s">
        <v>17</v>
      </c>
      <c r="C12">
        <v>2</v>
      </c>
      <c r="D12">
        <v>41608</v>
      </c>
      <c r="E12" t="s">
        <v>31</v>
      </c>
    </row>
    <row r="13" spans="1:5" x14ac:dyDescent="0.3">
      <c r="A13" t="s">
        <v>34</v>
      </c>
      <c r="B13" t="s">
        <v>10</v>
      </c>
      <c r="C13">
        <v>0</v>
      </c>
      <c r="D13">
        <v>60259</v>
      </c>
      <c r="E13" t="s">
        <v>29</v>
      </c>
    </row>
    <row r="14" spans="1:5" x14ac:dyDescent="0.3">
      <c r="A14" t="s">
        <v>33</v>
      </c>
      <c r="B14" t="s">
        <v>17</v>
      </c>
      <c r="C14">
        <v>5</v>
      </c>
      <c r="D14">
        <v>43719</v>
      </c>
      <c r="E14" t="s">
        <v>31</v>
      </c>
    </row>
    <row r="15" spans="1:5" x14ac:dyDescent="0.3">
      <c r="A15" t="s">
        <v>32</v>
      </c>
      <c r="B15" t="s">
        <v>19</v>
      </c>
      <c r="C15">
        <v>5</v>
      </c>
      <c r="D15">
        <v>48706</v>
      </c>
      <c r="E15" t="s">
        <v>29</v>
      </c>
    </row>
    <row r="16" spans="1:5" x14ac:dyDescent="0.3">
      <c r="A16" t="s">
        <v>28</v>
      </c>
      <c r="B16" t="s">
        <v>10</v>
      </c>
      <c r="C16">
        <v>5</v>
      </c>
      <c r="D16">
        <v>93506</v>
      </c>
      <c r="E16" t="s">
        <v>29</v>
      </c>
    </row>
    <row r="17" spans="1:5" x14ac:dyDescent="0.3">
      <c r="A17" t="s">
        <v>30</v>
      </c>
      <c r="B17" t="s">
        <v>17</v>
      </c>
      <c r="C17">
        <v>0</v>
      </c>
      <c r="D17">
        <v>45793</v>
      </c>
      <c r="E17" t="s">
        <v>31</v>
      </c>
    </row>
    <row r="18" spans="1:5" x14ac:dyDescent="0.3">
      <c r="A18" t="s">
        <v>34</v>
      </c>
      <c r="B18" t="s">
        <v>13</v>
      </c>
      <c r="C18">
        <v>5</v>
      </c>
      <c r="D18">
        <v>47042</v>
      </c>
      <c r="E18" t="s">
        <v>29</v>
      </c>
    </row>
    <row r="19" spans="1:5" x14ac:dyDescent="0.3">
      <c r="A19" t="s">
        <v>30</v>
      </c>
      <c r="B19" t="s">
        <v>19</v>
      </c>
      <c r="C19">
        <v>4</v>
      </c>
      <c r="D19">
        <v>52699</v>
      </c>
      <c r="E19" t="s">
        <v>31</v>
      </c>
    </row>
    <row r="20" spans="1:5" x14ac:dyDescent="0.3">
      <c r="A20" t="s">
        <v>28</v>
      </c>
      <c r="B20" t="s">
        <v>19</v>
      </c>
      <c r="C20">
        <v>1</v>
      </c>
      <c r="D20">
        <v>40987</v>
      </c>
      <c r="E20" t="s">
        <v>29</v>
      </c>
    </row>
    <row r="21" spans="1:5" x14ac:dyDescent="0.3">
      <c r="A21" t="s">
        <v>32</v>
      </c>
      <c r="B21" t="s">
        <v>19</v>
      </c>
      <c r="C21">
        <v>5</v>
      </c>
      <c r="D21">
        <v>69183</v>
      </c>
      <c r="E21" t="s">
        <v>29</v>
      </c>
    </row>
    <row r="22" spans="1:5" x14ac:dyDescent="0.3">
      <c r="A22" t="s">
        <v>28</v>
      </c>
      <c r="B22" t="s">
        <v>19</v>
      </c>
      <c r="C22">
        <v>2</v>
      </c>
      <c r="D22">
        <v>33190</v>
      </c>
      <c r="E22" t="s">
        <v>29</v>
      </c>
    </row>
    <row r="23" spans="1:5" x14ac:dyDescent="0.3">
      <c r="A23" t="s">
        <v>32</v>
      </c>
      <c r="B23" t="s">
        <v>17</v>
      </c>
      <c r="C23">
        <v>0</v>
      </c>
      <c r="D23">
        <v>44911</v>
      </c>
      <c r="E23" t="s">
        <v>29</v>
      </c>
    </row>
    <row r="24" spans="1:5" x14ac:dyDescent="0.3">
      <c r="A24" t="s">
        <v>34</v>
      </c>
      <c r="B24" t="s">
        <v>13</v>
      </c>
      <c r="C24">
        <v>1</v>
      </c>
      <c r="D24">
        <v>31031</v>
      </c>
      <c r="E24" t="s">
        <v>29</v>
      </c>
    </row>
    <row r="25" spans="1:5" x14ac:dyDescent="0.3">
      <c r="A25" t="s">
        <v>28</v>
      </c>
      <c r="B25" t="s">
        <v>10</v>
      </c>
      <c r="C25">
        <v>4</v>
      </c>
      <c r="D25">
        <v>78557</v>
      </c>
      <c r="E25" t="s">
        <v>29</v>
      </c>
    </row>
    <row r="26" spans="1:5" x14ac:dyDescent="0.3">
      <c r="A26" t="s">
        <v>34</v>
      </c>
      <c r="B26" t="s">
        <v>10</v>
      </c>
      <c r="C26">
        <v>4</v>
      </c>
      <c r="D26">
        <v>78834</v>
      </c>
      <c r="E26" t="s">
        <v>29</v>
      </c>
    </row>
    <row r="27" spans="1:5" x14ac:dyDescent="0.3">
      <c r="A27" t="s">
        <v>33</v>
      </c>
      <c r="B27" t="s">
        <v>15</v>
      </c>
      <c r="C27">
        <v>3</v>
      </c>
      <c r="D27">
        <v>66092</v>
      </c>
      <c r="E27" t="s">
        <v>31</v>
      </c>
    </row>
    <row r="28" spans="1:5" x14ac:dyDescent="0.3">
      <c r="A28" t="s">
        <v>30</v>
      </c>
      <c r="B28" t="s">
        <v>10</v>
      </c>
      <c r="C28">
        <v>1</v>
      </c>
      <c r="D28">
        <v>87286</v>
      </c>
      <c r="E28" t="s">
        <v>31</v>
      </c>
    </row>
    <row r="29" spans="1:5" x14ac:dyDescent="0.3">
      <c r="A29" t="s">
        <v>33</v>
      </c>
      <c r="B29" t="s">
        <v>19</v>
      </c>
      <c r="C29">
        <v>1</v>
      </c>
      <c r="D29">
        <v>52575</v>
      </c>
      <c r="E29" t="s">
        <v>31</v>
      </c>
    </row>
    <row r="30" spans="1:5" x14ac:dyDescent="0.3">
      <c r="A30" t="s">
        <v>30</v>
      </c>
      <c r="B30" t="s">
        <v>10</v>
      </c>
      <c r="C30">
        <v>1</v>
      </c>
      <c r="D30">
        <v>81676</v>
      </c>
      <c r="E30" t="s">
        <v>31</v>
      </c>
    </row>
    <row r="31" spans="1:5" x14ac:dyDescent="0.3">
      <c r="A31" t="s">
        <v>32</v>
      </c>
      <c r="B31" t="s">
        <v>13</v>
      </c>
      <c r="C31">
        <v>2</v>
      </c>
      <c r="D31">
        <v>56891</v>
      </c>
      <c r="E31" t="s">
        <v>29</v>
      </c>
    </row>
    <row r="32" spans="1:5" x14ac:dyDescent="0.3">
      <c r="A32" t="s">
        <v>33</v>
      </c>
      <c r="B32" t="s">
        <v>17</v>
      </c>
      <c r="C32">
        <v>3</v>
      </c>
      <c r="D32">
        <v>38101</v>
      </c>
      <c r="E32" t="s">
        <v>31</v>
      </c>
    </row>
    <row r="33" spans="1:5" x14ac:dyDescent="0.3">
      <c r="A33" t="s">
        <v>30</v>
      </c>
      <c r="B33" t="s">
        <v>15</v>
      </c>
      <c r="C33">
        <v>1</v>
      </c>
      <c r="D33">
        <v>72565</v>
      </c>
      <c r="E33" t="s">
        <v>31</v>
      </c>
    </row>
    <row r="34" spans="1:5" x14ac:dyDescent="0.3">
      <c r="A34" t="s">
        <v>30</v>
      </c>
      <c r="B34" t="s">
        <v>10</v>
      </c>
      <c r="C34">
        <v>2</v>
      </c>
      <c r="D34">
        <v>65191</v>
      </c>
      <c r="E34" t="s">
        <v>31</v>
      </c>
    </row>
    <row r="35" spans="1:5" x14ac:dyDescent="0.3">
      <c r="A35" t="s">
        <v>33</v>
      </c>
      <c r="B35" t="s">
        <v>13</v>
      </c>
      <c r="C35">
        <v>1</v>
      </c>
      <c r="D35">
        <v>67041</v>
      </c>
      <c r="E35" t="s">
        <v>31</v>
      </c>
    </row>
    <row r="36" spans="1:5" x14ac:dyDescent="0.3">
      <c r="A36" t="s">
        <v>32</v>
      </c>
      <c r="B36" t="s">
        <v>13</v>
      </c>
      <c r="C36">
        <v>3</v>
      </c>
      <c r="D36">
        <v>43283</v>
      </c>
      <c r="E36" t="s">
        <v>29</v>
      </c>
    </row>
    <row r="37" spans="1:5" x14ac:dyDescent="0.3">
      <c r="A37" t="s">
        <v>32</v>
      </c>
      <c r="B37" t="s">
        <v>10</v>
      </c>
      <c r="C37">
        <v>3</v>
      </c>
      <c r="D37">
        <v>70199</v>
      </c>
      <c r="E37" t="s">
        <v>29</v>
      </c>
    </row>
    <row r="38" spans="1:5" x14ac:dyDescent="0.3">
      <c r="A38" t="s">
        <v>34</v>
      </c>
      <c r="B38" t="s">
        <v>10</v>
      </c>
      <c r="C38">
        <v>0</v>
      </c>
      <c r="D38">
        <v>73042</v>
      </c>
      <c r="E38" t="s">
        <v>29</v>
      </c>
    </row>
    <row r="39" spans="1:5" x14ac:dyDescent="0.3">
      <c r="A39" t="s">
        <v>30</v>
      </c>
      <c r="B39" t="s">
        <v>15</v>
      </c>
      <c r="C39">
        <v>0</v>
      </c>
      <c r="D39">
        <v>55523</v>
      </c>
      <c r="E39" t="s">
        <v>31</v>
      </c>
    </row>
    <row r="40" spans="1:5" x14ac:dyDescent="0.3">
      <c r="A40" t="s">
        <v>33</v>
      </c>
      <c r="B40" t="s">
        <v>19</v>
      </c>
      <c r="C40">
        <v>5</v>
      </c>
      <c r="D40">
        <v>48384</v>
      </c>
      <c r="E40" t="s">
        <v>31</v>
      </c>
    </row>
    <row r="41" spans="1:5" x14ac:dyDescent="0.3">
      <c r="A41" t="s">
        <v>30</v>
      </c>
      <c r="B41" t="s">
        <v>17</v>
      </c>
      <c r="C41">
        <v>0</v>
      </c>
      <c r="D41">
        <v>36664</v>
      </c>
      <c r="E41" t="s">
        <v>31</v>
      </c>
    </row>
    <row r="42" spans="1:5" x14ac:dyDescent="0.3">
      <c r="A42" t="s">
        <v>34</v>
      </c>
      <c r="B42" t="s">
        <v>15</v>
      </c>
      <c r="C42">
        <v>1</v>
      </c>
      <c r="D42">
        <v>45689</v>
      </c>
      <c r="E42" t="s">
        <v>29</v>
      </c>
    </row>
    <row r="43" spans="1:5" x14ac:dyDescent="0.3">
      <c r="A43" t="s">
        <v>32</v>
      </c>
      <c r="B43" t="s">
        <v>19</v>
      </c>
      <c r="C43">
        <v>4</v>
      </c>
      <c r="D43">
        <v>40061</v>
      </c>
      <c r="E43" t="s">
        <v>29</v>
      </c>
    </row>
    <row r="44" spans="1:5" x14ac:dyDescent="0.3">
      <c r="A44" t="s">
        <v>32</v>
      </c>
      <c r="B44" t="s">
        <v>19</v>
      </c>
      <c r="C44">
        <v>5</v>
      </c>
      <c r="D44">
        <v>47953</v>
      </c>
      <c r="E44" t="s">
        <v>29</v>
      </c>
    </row>
    <row r="45" spans="1:5" x14ac:dyDescent="0.3">
      <c r="A45" t="s">
        <v>28</v>
      </c>
      <c r="B45" t="s">
        <v>19</v>
      </c>
      <c r="C45">
        <v>1</v>
      </c>
      <c r="D45">
        <v>47404</v>
      </c>
      <c r="E45" t="s">
        <v>29</v>
      </c>
    </row>
    <row r="46" spans="1:5" x14ac:dyDescent="0.3">
      <c r="A46" t="s">
        <v>34</v>
      </c>
      <c r="B46" t="s">
        <v>15</v>
      </c>
      <c r="C46">
        <v>4</v>
      </c>
      <c r="D46">
        <v>60562</v>
      </c>
      <c r="E46" t="s">
        <v>29</v>
      </c>
    </row>
    <row r="47" spans="1:5" x14ac:dyDescent="0.3">
      <c r="A47" t="s">
        <v>30</v>
      </c>
      <c r="B47" t="s">
        <v>17</v>
      </c>
      <c r="C47">
        <v>4</v>
      </c>
      <c r="D47">
        <v>43124</v>
      </c>
      <c r="E47" t="s">
        <v>31</v>
      </c>
    </row>
    <row r="48" spans="1:5" x14ac:dyDescent="0.3">
      <c r="A48" t="s">
        <v>32</v>
      </c>
      <c r="B48" t="s">
        <v>17</v>
      </c>
      <c r="C48">
        <v>3</v>
      </c>
      <c r="D48">
        <v>59536</v>
      </c>
      <c r="E48" t="s">
        <v>29</v>
      </c>
    </row>
    <row r="49" spans="1:5" x14ac:dyDescent="0.3">
      <c r="A49" t="s">
        <v>34</v>
      </c>
      <c r="B49" t="s">
        <v>15</v>
      </c>
      <c r="C49">
        <v>3</v>
      </c>
      <c r="D49">
        <v>51302</v>
      </c>
      <c r="E49" t="s">
        <v>29</v>
      </c>
    </row>
    <row r="50" spans="1:5" x14ac:dyDescent="0.3">
      <c r="A50" t="s">
        <v>28</v>
      </c>
      <c r="B50" t="s">
        <v>10</v>
      </c>
      <c r="C50">
        <v>1</v>
      </c>
      <c r="D50">
        <v>66501</v>
      </c>
      <c r="E50" t="s">
        <v>29</v>
      </c>
    </row>
    <row r="51" spans="1:5" x14ac:dyDescent="0.3">
      <c r="A51" t="s">
        <v>34</v>
      </c>
      <c r="B51" t="s">
        <v>19</v>
      </c>
      <c r="C51">
        <v>1</v>
      </c>
      <c r="D51">
        <v>44087</v>
      </c>
      <c r="E51" t="s">
        <v>29</v>
      </c>
    </row>
    <row r="52" spans="1:5" x14ac:dyDescent="0.3">
      <c r="A52" t="s">
        <v>28</v>
      </c>
      <c r="B52" t="s">
        <v>10</v>
      </c>
      <c r="C52">
        <v>5</v>
      </c>
      <c r="D52">
        <v>94532</v>
      </c>
      <c r="E52" t="s">
        <v>29</v>
      </c>
    </row>
    <row r="53" spans="1:5" x14ac:dyDescent="0.3">
      <c r="A53" t="s">
        <v>30</v>
      </c>
      <c r="B53" t="s">
        <v>19</v>
      </c>
      <c r="C53">
        <v>0</v>
      </c>
      <c r="D53">
        <v>66748</v>
      </c>
      <c r="E53" t="s">
        <v>31</v>
      </c>
    </row>
    <row r="54" spans="1:5" x14ac:dyDescent="0.3">
      <c r="A54" t="s">
        <v>30</v>
      </c>
      <c r="B54" t="s">
        <v>15</v>
      </c>
      <c r="C54">
        <v>3</v>
      </c>
      <c r="D54">
        <v>50110</v>
      </c>
      <c r="E54" t="s">
        <v>31</v>
      </c>
    </row>
    <row r="55" spans="1:5" x14ac:dyDescent="0.3">
      <c r="A55" t="s">
        <v>32</v>
      </c>
      <c r="B55" t="s">
        <v>17</v>
      </c>
      <c r="C55">
        <v>4</v>
      </c>
      <c r="D55">
        <v>56720</v>
      </c>
      <c r="E55" t="s">
        <v>29</v>
      </c>
    </row>
    <row r="56" spans="1:5" x14ac:dyDescent="0.3">
      <c r="A56" t="s">
        <v>30</v>
      </c>
      <c r="B56" t="s">
        <v>17</v>
      </c>
      <c r="C56">
        <v>5</v>
      </c>
      <c r="D56">
        <v>46646</v>
      </c>
      <c r="E56" t="s">
        <v>31</v>
      </c>
    </row>
    <row r="57" spans="1:5" x14ac:dyDescent="0.3">
      <c r="A57" t="s">
        <v>30</v>
      </c>
      <c r="B57" t="s">
        <v>10</v>
      </c>
      <c r="C57">
        <v>4</v>
      </c>
      <c r="D57">
        <v>86944</v>
      </c>
      <c r="E57" t="s">
        <v>31</v>
      </c>
    </row>
    <row r="58" spans="1:5" x14ac:dyDescent="0.3">
      <c r="A58" t="s">
        <v>30</v>
      </c>
      <c r="B58" t="s">
        <v>13</v>
      </c>
      <c r="C58">
        <v>0</v>
      </c>
      <c r="D58">
        <v>55955</v>
      </c>
      <c r="E58" t="s">
        <v>31</v>
      </c>
    </row>
    <row r="59" spans="1:5" x14ac:dyDescent="0.3">
      <c r="A59" t="s">
        <v>32</v>
      </c>
      <c r="B59" t="s">
        <v>17</v>
      </c>
      <c r="C59">
        <v>4</v>
      </c>
      <c r="D59">
        <v>47469</v>
      </c>
      <c r="E59" t="s">
        <v>29</v>
      </c>
    </row>
    <row r="60" spans="1:5" x14ac:dyDescent="0.3">
      <c r="A60" t="s">
        <v>28</v>
      </c>
      <c r="B60" t="s">
        <v>10</v>
      </c>
      <c r="C60">
        <v>5</v>
      </c>
      <c r="D60">
        <v>99821</v>
      </c>
      <c r="E60" t="s">
        <v>29</v>
      </c>
    </row>
    <row r="61" spans="1:5" x14ac:dyDescent="0.3">
      <c r="A61" t="s">
        <v>32</v>
      </c>
      <c r="B61" t="s">
        <v>15</v>
      </c>
      <c r="C61">
        <v>4</v>
      </c>
      <c r="D61">
        <v>66198</v>
      </c>
      <c r="E61" t="s">
        <v>29</v>
      </c>
    </row>
    <row r="62" spans="1:5" x14ac:dyDescent="0.3">
      <c r="A62" t="s">
        <v>34</v>
      </c>
      <c r="B62" t="s">
        <v>19</v>
      </c>
      <c r="C62">
        <v>1</v>
      </c>
      <c r="D62">
        <v>35587</v>
      </c>
      <c r="E62" t="s">
        <v>29</v>
      </c>
    </row>
    <row r="63" spans="1:5" x14ac:dyDescent="0.3">
      <c r="A63" t="s">
        <v>34</v>
      </c>
      <c r="B63" t="s">
        <v>10</v>
      </c>
      <c r="C63">
        <v>1</v>
      </c>
      <c r="D63">
        <v>89276</v>
      </c>
      <c r="E63" t="s">
        <v>29</v>
      </c>
    </row>
    <row r="64" spans="1:5" x14ac:dyDescent="0.3">
      <c r="A64" t="s">
        <v>28</v>
      </c>
      <c r="B64" t="s">
        <v>19</v>
      </c>
      <c r="C64">
        <v>0</v>
      </c>
      <c r="D64">
        <v>57444</v>
      </c>
      <c r="E64" t="s">
        <v>29</v>
      </c>
    </row>
    <row r="65" spans="1:5" x14ac:dyDescent="0.3">
      <c r="A65" t="s">
        <v>34</v>
      </c>
      <c r="B65" t="s">
        <v>19</v>
      </c>
      <c r="C65">
        <v>1</v>
      </c>
      <c r="D65">
        <v>31181</v>
      </c>
      <c r="E65" t="s">
        <v>29</v>
      </c>
    </row>
    <row r="66" spans="1:5" x14ac:dyDescent="0.3">
      <c r="A66" t="s">
        <v>28</v>
      </c>
      <c r="B66" t="s">
        <v>15</v>
      </c>
      <c r="C66">
        <v>0</v>
      </c>
      <c r="D66">
        <v>74806</v>
      </c>
      <c r="E66" t="s">
        <v>29</v>
      </c>
    </row>
    <row r="67" spans="1:5" x14ac:dyDescent="0.3">
      <c r="A67" t="s">
        <v>28</v>
      </c>
      <c r="B67" t="s">
        <v>17</v>
      </c>
      <c r="C67">
        <v>4</v>
      </c>
      <c r="D67">
        <v>36547</v>
      </c>
      <c r="E67" t="s">
        <v>29</v>
      </c>
    </row>
    <row r="68" spans="1:5" x14ac:dyDescent="0.3">
      <c r="A68" t="s">
        <v>30</v>
      </c>
      <c r="B68" t="s">
        <v>10</v>
      </c>
      <c r="C68">
        <v>2</v>
      </c>
      <c r="D68">
        <v>87107</v>
      </c>
      <c r="E68" t="s">
        <v>31</v>
      </c>
    </row>
    <row r="69" spans="1:5" x14ac:dyDescent="0.3">
      <c r="A69" t="s">
        <v>30</v>
      </c>
      <c r="B69" t="s">
        <v>17</v>
      </c>
      <c r="C69">
        <v>3</v>
      </c>
      <c r="D69">
        <v>52741</v>
      </c>
      <c r="E69" t="s">
        <v>31</v>
      </c>
    </row>
    <row r="70" spans="1:5" x14ac:dyDescent="0.3">
      <c r="A70" t="s">
        <v>34</v>
      </c>
      <c r="B70" t="s">
        <v>13</v>
      </c>
      <c r="C70">
        <v>0</v>
      </c>
      <c r="D70">
        <v>40424</v>
      </c>
      <c r="E70" t="s">
        <v>29</v>
      </c>
    </row>
    <row r="71" spans="1:5" x14ac:dyDescent="0.3">
      <c r="A71" t="s">
        <v>33</v>
      </c>
      <c r="B71" t="s">
        <v>10</v>
      </c>
      <c r="C71">
        <v>1</v>
      </c>
      <c r="D71">
        <v>85030</v>
      </c>
      <c r="E71" t="s">
        <v>31</v>
      </c>
    </row>
    <row r="72" spans="1:5" x14ac:dyDescent="0.3">
      <c r="A72" t="s">
        <v>32</v>
      </c>
      <c r="B72" t="s">
        <v>17</v>
      </c>
      <c r="C72">
        <v>3</v>
      </c>
      <c r="D72">
        <v>32985</v>
      </c>
      <c r="E72" t="s">
        <v>29</v>
      </c>
    </row>
    <row r="73" spans="1:5" x14ac:dyDescent="0.3">
      <c r="A73" t="s">
        <v>34</v>
      </c>
      <c r="B73" t="s">
        <v>17</v>
      </c>
      <c r="C73">
        <v>5</v>
      </c>
      <c r="D73">
        <v>52666</v>
      </c>
      <c r="E73" t="s">
        <v>29</v>
      </c>
    </row>
    <row r="74" spans="1:5" x14ac:dyDescent="0.3">
      <c r="A74" t="s">
        <v>34</v>
      </c>
      <c r="B74" t="s">
        <v>10</v>
      </c>
      <c r="C74">
        <v>3</v>
      </c>
      <c r="D74">
        <v>84115</v>
      </c>
      <c r="E74" t="s">
        <v>29</v>
      </c>
    </row>
    <row r="75" spans="1:5" x14ac:dyDescent="0.3">
      <c r="A75" t="s">
        <v>32</v>
      </c>
      <c r="B75" t="s">
        <v>19</v>
      </c>
      <c r="C75">
        <v>4</v>
      </c>
      <c r="D75">
        <v>41610</v>
      </c>
      <c r="E75" t="s">
        <v>29</v>
      </c>
    </row>
    <row r="76" spans="1:5" x14ac:dyDescent="0.3">
      <c r="A76" t="s">
        <v>28</v>
      </c>
      <c r="B76" t="s">
        <v>17</v>
      </c>
      <c r="C76">
        <v>0</v>
      </c>
      <c r="D76">
        <v>67783</v>
      </c>
      <c r="E76" t="s">
        <v>29</v>
      </c>
    </row>
    <row r="77" spans="1:5" x14ac:dyDescent="0.3">
      <c r="A77" t="s">
        <v>34</v>
      </c>
      <c r="B77" t="s">
        <v>17</v>
      </c>
      <c r="C77">
        <v>0</v>
      </c>
      <c r="D77">
        <v>53684</v>
      </c>
      <c r="E77" t="s">
        <v>29</v>
      </c>
    </row>
    <row r="78" spans="1:5" x14ac:dyDescent="0.3">
      <c r="A78" t="s">
        <v>32</v>
      </c>
      <c r="B78" t="s">
        <v>19</v>
      </c>
      <c r="C78">
        <v>5</v>
      </c>
      <c r="D78">
        <v>33436</v>
      </c>
      <c r="E78" t="s">
        <v>29</v>
      </c>
    </row>
    <row r="79" spans="1:5" x14ac:dyDescent="0.3">
      <c r="A79" t="s">
        <v>28</v>
      </c>
      <c r="B79" t="s">
        <v>13</v>
      </c>
      <c r="C79">
        <v>1</v>
      </c>
      <c r="D79">
        <v>51705</v>
      </c>
      <c r="E79" t="s">
        <v>29</v>
      </c>
    </row>
    <row r="80" spans="1:5" x14ac:dyDescent="0.3">
      <c r="A80" t="s">
        <v>34</v>
      </c>
      <c r="B80" t="s">
        <v>10</v>
      </c>
      <c r="C80">
        <v>1</v>
      </c>
      <c r="D80">
        <v>69640</v>
      </c>
      <c r="E80" t="s">
        <v>29</v>
      </c>
    </row>
    <row r="81" spans="1:5" x14ac:dyDescent="0.3">
      <c r="A81" t="s">
        <v>34</v>
      </c>
      <c r="B81" t="s">
        <v>13</v>
      </c>
      <c r="C81">
        <v>1</v>
      </c>
      <c r="D81">
        <v>39166</v>
      </c>
      <c r="E81" t="s">
        <v>29</v>
      </c>
    </row>
    <row r="82" spans="1:5" x14ac:dyDescent="0.3">
      <c r="A82" t="s">
        <v>28</v>
      </c>
      <c r="B82" t="s">
        <v>15</v>
      </c>
      <c r="C82">
        <v>2</v>
      </c>
      <c r="D82">
        <v>63945</v>
      </c>
      <c r="E82" t="s">
        <v>29</v>
      </c>
    </row>
    <row r="83" spans="1:5" x14ac:dyDescent="0.3">
      <c r="A83" t="s">
        <v>28</v>
      </c>
      <c r="B83" t="s">
        <v>10</v>
      </c>
      <c r="C83">
        <v>5</v>
      </c>
      <c r="D83">
        <v>83753</v>
      </c>
      <c r="E83" t="s">
        <v>29</v>
      </c>
    </row>
    <row r="84" spans="1:5" x14ac:dyDescent="0.3">
      <c r="A84" t="s">
        <v>32</v>
      </c>
      <c r="B84" t="s">
        <v>13</v>
      </c>
      <c r="C84">
        <v>5</v>
      </c>
      <c r="D84">
        <v>40227</v>
      </c>
      <c r="E84" t="s">
        <v>29</v>
      </c>
    </row>
    <row r="85" spans="1:5" x14ac:dyDescent="0.3">
      <c r="A85" t="s">
        <v>28</v>
      </c>
      <c r="B85" t="s">
        <v>15</v>
      </c>
      <c r="C85">
        <v>3</v>
      </c>
      <c r="D85">
        <v>42447</v>
      </c>
      <c r="E85" t="s">
        <v>29</v>
      </c>
    </row>
    <row r="86" spans="1:5" x14ac:dyDescent="0.3">
      <c r="A86" t="s">
        <v>30</v>
      </c>
      <c r="B86" t="s">
        <v>17</v>
      </c>
      <c r="C86">
        <v>4</v>
      </c>
      <c r="D86">
        <v>44008</v>
      </c>
      <c r="E86" t="s">
        <v>31</v>
      </c>
    </row>
    <row r="87" spans="1:5" x14ac:dyDescent="0.3">
      <c r="A87" t="s">
        <v>33</v>
      </c>
      <c r="B87" t="s">
        <v>10</v>
      </c>
      <c r="C87">
        <v>3</v>
      </c>
      <c r="D87">
        <v>66344</v>
      </c>
      <c r="E87" t="s">
        <v>31</v>
      </c>
    </row>
    <row r="88" spans="1:5" x14ac:dyDescent="0.3">
      <c r="A88" t="s">
        <v>33</v>
      </c>
      <c r="B88" t="s">
        <v>17</v>
      </c>
      <c r="C88">
        <v>2</v>
      </c>
      <c r="D88">
        <v>32949</v>
      </c>
      <c r="E88" t="s">
        <v>31</v>
      </c>
    </row>
    <row r="89" spans="1:5" x14ac:dyDescent="0.3">
      <c r="A89" t="s">
        <v>30</v>
      </c>
      <c r="B89" t="s">
        <v>13</v>
      </c>
      <c r="C89">
        <v>2</v>
      </c>
      <c r="D89">
        <v>45153</v>
      </c>
      <c r="E89" t="s">
        <v>31</v>
      </c>
    </row>
    <row r="90" spans="1:5" x14ac:dyDescent="0.3">
      <c r="A90" t="s">
        <v>34</v>
      </c>
      <c r="B90" t="s">
        <v>19</v>
      </c>
      <c r="C90">
        <v>4</v>
      </c>
      <c r="D90">
        <v>68359</v>
      </c>
      <c r="E90" t="s">
        <v>29</v>
      </c>
    </row>
    <row r="91" spans="1:5" x14ac:dyDescent="0.3">
      <c r="A91" t="s">
        <v>34</v>
      </c>
      <c r="B91" t="s">
        <v>13</v>
      </c>
      <c r="C91">
        <v>5</v>
      </c>
      <c r="D91">
        <v>47633</v>
      </c>
      <c r="E91" t="s">
        <v>29</v>
      </c>
    </row>
    <row r="92" spans="1:5" x14ac:dyDescent="0.3">
      <c r="A92" t="s">
        <v>30</v>
      </c>
      <c r="B92" t="s">
        <v>19</v>
      </c>
      <c r="C92">
        <v>1</v>
      </c>
      <c r="D92">
        <v>47322</v>
      </c>
      <c r="E92" t="s">
        <v>31</v>
      </c>
    </row>
    <row r="93" spans="1:5" x14ac:dyDescent="0.3">
      <c r="A93" t="s">
        <v>33</v>
      </c>
      <c r="B93" t="s">
        <v>15</v>
      </c>
      <c r="C93">
        <v>2</v>
      </c>
      <c r="D93">
        <v>69159</v>
      </c>
      <c r="E93" t="s">
        <v>31</v>
      </c>
    </row>
    <row r="94" spans="1:5" x14ac:dyDescent="0.3">
      <c r="A94" t="s">
        <v>32</v>
      </c>
      <c r="B94" t="s">
        <v>19</v>
      </c>
      <c r="C94">
        <v>5</v>
      </c>
      <c r="D94">
        <v>58126</v>
      </c>
      <c r="E94" t="s">
        <v>29</v>
      </c>
    </row>
    <row r="95" spans="1:5" x14ac:dyDescent="0.3">
      <c r="A95" t="s">
        <v>28</v>
      </c>
      <c r="B95" t="s">
        <v>13</v>
      </c>
      <c r="C95">
        <v>1</v>
      </c>
      <c r="D95">
        <v>52008</v>
      </c>
      <c r="E95" t="s">
        <v>29</v>
      </c>
    </row>
    <row r="96" spans="1:5" x14ac:dyDescent="0.3">
      <c r="A96" t="s">
        <v>28</v>
      </c>
      <c r="B96" t="s">
        <v>15</v>
      </c>
      <c r="C96">
        <v>4</v>
      </c>
      <c r="D96">
        <v>77889</v>
      </c>
      <c r="E96" t="s">
        <v>29</v>
      </c>
    </row>
    <row r="97" spans="1:5" x14ac:dyDescent="0.3">
      <c r="A97" t="s">
        <v>30</v>
      </c>
      <c r="B97" t="s">
        <v>17</v>
      </c>
      <c r="C97">
        <v>5</v>
      </c>
      <c r="D97">
        <v>64492</v>
      </c>
      <c r="E97" t="s">
        <v>31</v>
      </c>
    </row>
    <row r="98" spans="1:5" x14ac:dyDescent="0.3">
      <c r="A98" t="s">
        <v>30</v>
      </c>
      <c r="B98" t="s">
        <v>15</v>
      </c>
      <c r="C98">
        <v>5</v>
      </c>
      <c r="D98">
        <v>73703</v>
      </c>
      <c r="E98" t="s">
        <v>31</v>
      </c>
    </row>
    <row r="99" spans="1:5" x14ac:dyDescent="0.3">
      <c r="A99" t="s">
        <v>33</v>
      </c>
      <c r="B99" t="s">
        <v>10</v>
      </c>
      <c r="C99">
        <v>0</v>
      </c>
      <c r="D99">
        <v>72844</v>
      </c>
      <c r="E99" t="s">
        <v>31</v>
      </c>
    </row>
    <row r="100" spans="1:5" x14ac:dyDescent="0.3">
      <c r="A100" t="s">
        <v>28</v>
      </c>
      <c r="B100" t="s">
        <v>10</v>
      </c>
      <c r="C100">
        <v>5</v>
      </c>
      <c r="D100">
        <v>62132</v>
      </c>
      <c r="E100" t="s">
        <v>29</v>
      </c>
    </row>
    <row r="101" spans="1:5" x14ac:dyDescent="0.3">
      <c r="A101" t="s">
        <v>32</v>
      </c>
      <c r="B101" t="s">
        <v>15</v>
      </c>
      <c r="C101">
        <v>3</v>
      </c>
      <c r="D101">
        <v>55407</v>
      </c>
      <c r="E101" t="s">
        <v>29</v>
      </c>
    </row>
    <row r="102" spans="1:5" x14ac:dyDescent="0.3">
      <c r="A102" t="s">
        <v>34</v>
      </c>
      <c r="B102" t="s">
        <v>13</v>
      </c>
      <c r="C102">
        <v>0</v>
      </c>
      <c r="D102">
        <v>62569</v>
      </c>
      <c r="E102" t="s">
        <v>29</v>
      </c>
    </row>
    <row r="103" spans="1:5" x14ac:dyDescent="0.3">
      <c r="A103" t="s">
        <v>33</v>
      </c>
      <c r="B103" t="s">
        <v>17</v>
      </c>
      <c r="C103">
        <v>1</v>
      </c>
      <c r="D103">
        <v>43145</v>
      </c>
      <c r="E103" t="s">
        <v>31</v>
      </c>
    </row>
    <row r="104" spans="1:5" x14ac:dyDescent="0.3">
      <c r="A104" t="s">
        <v>33</v>
      </c>
      <c r="B104" t="s">
        <v>19</v>
      </c>
      <c r="C104">
        <v>5</v>
      </c>
      <c r="D104">
        <v>44551</v>
      </c>
      <c r="E104" t="s">
        <v>31</v>
      </c>
    </row>
    <row r="105" spans="1:5" x14ac:dyDescent="0.3">
      <c r="A105" t="s">
        <v>33</v>
      </c>
      <c r="B105" t="s">
        <v>10</v>
      </c>
      <c r="C105">
        <v>1</v>
      </c>
      <c r="D105">
        <v>82022</v>
      </c>
      <c r="E105" t="s">
        <v>31</v>
      </c>
    </row>
    <row r="106" spans="1:5" x14ac:dyDescent="0.3">
      <c r="A106" t="s">
        <v>33</v>
      </c>
      <c r="B106" t="s">
        <v>19</v>
      </c>
      <c r="C106">
        <v>1</v>
      </c>
      <c r="D106">
        <v>66503</v>
      </c>
      <c r="E106" t="s">
        <v>31</v>
      </c>
    </row>
    <row r="107" spans="1:5" x14ac:dyDescent="0.3">
      <c r="A107" t="s">
        <v>33</v>
      </c>
      <c r="B107" t="s">
        <v>17</v>
      </c>
      <c r="C107">
        <v>4</v>
      </c>
      <c r="D107">
        <v>39927</v>
      </c>
      <c r="E107" t="s">
        <v>31</v>
      </c>
    </row>
    <row r="108" spans="1:5" x14ac:dyDescent="0.3">
      <c r="A108" t="s">
        <v>32</v>
      </c>
      <c r="B108" t="s">
        <v>19</v>
      </c>
      <c r="C108">
        <v>3</v>
      </c>
      <c r="D108">
        <v>63442</v>
      </c>
      <c r="E108" t="s">
        <v>29</v>
      </c>
    </row>
    <row r="109" spans="1:5" x14ac:dyDescent="0.3">
      <c r="A109" t="s">
        <v>28</v>
      </c>
      <c r="B109" t="s">
        <v>15</v>
      </c>
      <c r="C109">
        <v>0</v>
      </c>
      <c r="D109">
        <v>74407</v>
      </c>
      <c r="E109" t="s">
        <v>29</v>
      </c>
    </row>
    <row r="110" spans="1:5" x14ac:dyDescent="0.3">
      <c r="A110" t="s">
        <v>30</v>
      </c>
      <c r="B110" t="s">
        <v>17</v>
      </c>
      <c r="C110">
        <v>1</v>
      </c>
      <c r="D110">
        <v>52112</v>
      </c>
      <c r="E110" t="s">
        <v>31</v>
      </c>
    </row>
    <row r="111" spans="1:5" x14ac:dyDescent="0.3">
      <c r="A111" t="s">
        <v>28</v>
      </c>
      <c r="B111" t="s">
        <v>17</v>
      </c>
      <c r="C111">
        <v>2</v>
      </c>
      <c r="D111">
        <v>50076</v>
      </c>
      <c r="E111" t="s">
        <v>29</v>
      </c>
    </row>
    <row r="112" spans="1:5" x14ac:dyDescent="0.3">
      <c r="A112" t="s">
        <v>30</v>
      </c>
      <c r="B112" t="s">
        <v>10</v>
      </c>
      <c r="C112">
        <v>1</v>
      </c>
      <c r="D112">
        <v>73989</v>
      </c>
      <c r="E112" t="s">
        <v>31</v>
      </c>
    </row>
    <row r="113" spans="1:5" x14ac:dyDescent="0.3">
      <c r="A113" t="s">
        <v>33</v>
      </c>
      <c r="B113" t="s">
        <v>17</v>
      </c>
      <c r="C113">
        <v>0</v>
      </c>
      <c r="D113">
        <v>42660</v>
      </c>
      <c r="E113" t="s">
        <v>31</v>
      </c>
    </row>
    <row r="114" spans="1:5" x14ac:dyDescent="0.3">
      <c r="A114" t="s">
        <v>33</v>
      </c>
      <c r="B114" t="s">
        <v>17</v>
      </c>
      <c r="C114">
        <v>3</v>
      </c>
      <c r="D114">
        <v>57384</v>
      </c>
      <c r="E114" t="s">
        <v>31</v>
      </c>
    </row>
    <row r="115" spans="1:5" x14ac:dyDescent="0.3">
      <c r="A115" t="s">
        <v>28</v>
      </c>
      <c r="B115" t="s">
        <v>19</v>
      </c>
      <c r="C115">
        <v>0</v>
      </c>
      <c r="D115">
        <v>44107</v>
      </c>
      <c r="E115" t="s">
        <v>29</v>
      </c>
    </row>
    <row r="116" spans="1:5" x14ac:dyDescent="0.3">
      <c r="A116" t="s">
        <v>30</v>
      </c>
      <c r="B116" t="s">
        <v>10</v>
      </c>
      <c r="C116">
        <v>4</v>
      </c>
      <c r="D116">
        <v>76347</v>
      </c>
      <c r="E116" t="s">
        <v>31</v>
      </c>
    </row>
    <row r="117" spans="1:5" x14ac:dyDescent="0.3">
      <c r="A117" t="s">
        <v>33</v>
      </c>
      <c r="B117" t="s">
        <v>17</v>
      </c>
      <c r="C117">
        <v>5</v>
      </c>
      <c r="D117">
        <v>47870</v>
      </c>
      <c r="E117" t="s">
        <v>31</v>
      </c>
    </row>
    <row r="118" spans="1:5" x14ac:dyDescent="0.3">
      <c r="A118" t="s">
        <v>32</v>
      </c>
      <c r="B118" t="s">
        <v>13</v>
      </c>
      <c r="C118">
        <v>1</v>
      </c>
      <c r="D118">
        <v>65651</v>
      </c>
      <c r="E118" t="s">
        <v>29</v>
      </c>
    </row>
    <row r="119" spans="1:5" x14ac:dyDescent="0.3">
      <c r="A119" t="s">
        <v>28</v>
      </c>
      <c r="B119" t="s">
        <v>13</v>
      </c>
      <c r="C119">
        <v>4</v>
      </c>
      <c r="D119">
        <v>60330</v>
      </c>
      <c r="E119" t="s">
        <v>29</v>
      </c>
    </row>
    <row r="120" spans="1:5" x14ac:dyDescent="0.3">
      <c r="A120" t="s">
        <v>28</v>
      </c>
      <c r="B120" t="s">
        <v>19</v>
      </c>
      <c r="C120">
        <v>5</v>
      </c>
      <c r="D120">
        <v>69561</v>
      </c>
      <c r="E120" t="s">
        <v>29</v>
      </c>
    </row>
    <row r="121" spans="1:5" x14ac:dyDescent="0.3">
      <c r="A121" t="s">
        <v>30</v>
      </c>
      <c r="B121" t="s">
        <v>15</v>
      </c>
      <c r="C121">
        <v>0</v>
      </c>
      <c r="D121">
        <v>72694</v>
      </c>
      <c r="E121" t="s">
        <v>31</v>
      </c>
    </row>
    <row r="122" spans="1:5" x14ac:dyDescent="0.3">
      <c r="A122" t="s">
        <v>33</v>
      </c>
      <c r="B122" t="s">
        <v>17</v>
      </c>
      <c r="C122">
        <v>1</v>
      </c>
      <c r="D122">
        <v>32848</v>
      </c>
      <c r="E122" t="s">
        <v>31</v>
      </c>
    </row>
    <row r="123" spans="1:5" x14ac:dyDescent="0.3">
      <c r="A123" t="s">
        <v>30</v>
      </c>
      <c r="B123" t="s">
        <v>13</v>
      </c>
      <c r="C123">
        <v>2</v>
      </c>
      <c r="D123">
        <v>58933</v>
      </c>
      <c r="E123" t="s">
        <v>31</v>
      </c>
    </row>
    <row r="124" spans="1:5" x14ac:dyDescent="0.3">
      <c r="A124" t="s">
        <v>28</v>
      </c>
      <c r="B124" t="s">
        <v>13</v>
      </c>
      <c r="C124">
        <v>5</v>
      </c>
      <c r="D124">
        <v>58668</v>
      </c>
      <c r="E124" t="s">
        <v>29</v>
      </c>
    </row>
    <row r="125" spans="1:5" x14ac:dyDescent="0.3">
      <c r="A125" t="s">
        <v>28</v>
      </c>
      <c r="B125" t="s">
        <v>13</v>
      </c>
      <c r="C125">
        <v>0</v>
      </c>
      <c r="D125">
        <v>34362</v>
      </c>
      <c r="E125" t="s">
        <v>29</v>
      </c>
    </row>
    <row r="126" spans="1:5" x14ac:dyDescent="0.3">
      <c r="A126" t="s">
        <v>32</v>
      </c>
      <c r="B126" t="s">
        <v>15</v>
      </c>
      <c r="C126">
        <v>5</v>
      </c>
      <c r="D126">
        <v>63231</v>
      </c>
      <c r="E126" t="s">
        <v>29</v>
      </c>
    </row>
    <row r="127" spans="1:5" x14ac:dyDescent="0.3">
      <c r="A127" t="s">
        <v>28</v>
      </c>
      <c r="B127" t="s">
        <v>10</v>
      </c>
      <c r="C127">
        <v>0</v>
      </c>
      <c r="D127">
        <v>97528</v>
      </c>
      <c r="E127" t="s">
        <v>29</v>
      </c>
    </row>
    <row r="128" spans="1:5" x14ac:dyDescent="0.3">
      <c r="A128" t="s">
        <v>30</v>
      </c>
      <c r="B128" t="s">
        <v>17</v>
      </c>
      <c r="C128">
        <v>5</v>
      </c>
      <c r="D128">
        <v>46910</v>
      </c>
      <c r="E128" t="s">
        <v>31</v>
      </c>
    </row>
    <row r="129" spans="1:5" x14ac:dyDescent="0.3">
      <c r="A129" t="s">
        <v>34</v>
      </c>
      <c r="B129" t="s">
        <v>19</v>
      </c>
      <c r="C129">
        <v>3</v>
      </c>
      <c r="D129">
        <v>49079</v>
      </c>
      <c r="E129" t="s">
        <v>29</v>
      </c>
    </row>
    <row r="130" spans="1:5" x14ac:dyDescent="0.3">
      <c r="A130" t="s">
        <v>32</v>
      </c>
      <c r="B130" t="s">
        <v>15</v>
      </c>
      <c r="C130">
        <v>3</v>
      </c>
      <c r="D130">
        <v>46127</v>
      </c>
      <c r="E130" t="s">
        <v>29</v>
      </c>
    </row>
    <row r="131" spans="1:5" x14ac:dyDescent="0.3">
      <c r="A131" t="s">
        <v>32</v>
      </c>
      <c r="B131" t="s">
        <v>15</v>
      </c>
      <c r="C131">
        <v>3</v>
      </c>
      <c r="D131">
        <v>62682</v>
      </c>
      <c r="E131" t="s">
        <v>29</v>
      </c>
    </row>
    <row r="132" spans="1:5" x14ac:dyDescent="0.3">
      <c r="A132" t="s">
        <v>30</v>
      </c>
      <c r="B132" t="s">
        <v>19</v>
      </c>
      <c r="C132">
        <v>5</v>
      </c>
      <c r="D132">
        <v>64508</v>
      </c>
      <c r="E132" t="s">
        <v>31</v>
      </c>
    </row>
    <row r="133" spans="1:5" x14ac:dyDescent="0.3">
      <c r="A133" t="s">
        <v>28</v>
      </c>
      <c r="B133" t="s">
        <v>19</v>
      </c>
      <c r="C133">
        <v>0</v>
      </c>
      <c r="D133">
        <v>46279</v>
      </c>
      <c r="E133" t="s">
        <v>29</v>
      </c>
    </row>
    <row r="134" spans="1:5" x14ac:dyDescent="0.3">
      <c r="A134" t="s">
        <v>33</v>
      </c>
      <c r="B134" t="s">
        <v>13</v>
      </c>
      <c r="C134">
        <v>3</v>
      </c>
      <c r="D134">
        <v>59351</v>
      </c>
      <c r="E134" t="s">
        <v>31</v>
      </c>
    </row>
    <row r="135" spans="1:5" x14ac:dyDescent="0.3">
      <c r="A135" t="s">
        <v>28</v>
      </c>
      <c r="B135" t="s">
        <v>17</v>
      </c>
      <c r="C135">
        <v>2</v>
      </c>
      <c r="D135">
        <v>56644</v>
      </c>
      <c r="E135" t="s">
        <v>29</v>
      </c>
    </row>
    <row r="136" spans="1:5" x14ac:dyDescent="0.3">
      <c r="A136" t="s">
        <v>34</v>
      </c>
      <c r="B136" t="s">
        <v>10</v>
      </c>
      <c r="C136">
        <v>1</v>
      </c>
      <c r="D136">
        <v>84386</v>
      </c>
      <c r="E136" t="s">
        <v>29</v>
      </c>
    </row>
    <row r="137" spans="1:5" x14ac:dyDescent="0.3">
      <c r="A137" t="s">
        <v>28</v>
      </c>
      <c r="B137" t="s">
        <v>13</v>
      </c>
      <c r="C137">
        <v>1</v>
      </c>
      <c r="D137">
        <v>32045</v>
      </c>
      <c r="E137" t="s">
        <v>29</v>
      </c>
    </row>
    <row r="138" spans="1:5" x14ac:dyDescent="0.3">
      <c r="A138" t="s">
        <v>33</v>
      </c>
      <c r="B138" t="s">
        <v>10</v>
      </c>
      <c r="C138">
        <v>5</v>
      </c>
      <c r="D138">
        <v>87685</v>
      </c>
      <c r="E138" t="s">
        <v>31</v>
      </c>
    </row>
    <row r="139" spans="1:5" x14ac:dyDescent="0.3">
      <c r="A139" t="s">
        <v>32</v>
      </c>
      <c r="B139" t="s">
        <v>13</v>
      </c>
      <c r="C139">
        <v>2</v>
      </c>
      <c r="D139">
        <v>52815</v>
      </c>
      <c r="E139" t="s">
        <v>29</v>
      </c>
    </row>
    <row r="140" spans="1:5" x14ac:dyDescent="0.3">
      <c r="A140" t="s">
        <v>33</v>
      </c>
      <c r="B140" t="s">
        <v>17</v>
      </c>
      <c r="C140">
        <v>1</v>
      </c>
      <c r="D140">
        <v>68434</v>
      </c>
      <c r="E140" t="s">
        <v>31</v>
      </c>
    </row>
    <row r="141" spans="1:5" x14ac:dyDescent="0.3">
      <c r="A141" t="s">
        <v>33</v>
      </c>
      <c r="B141" t="s">
        <v>17</v>
      </c>
      <c r="C141">
        <v>5</v>
      </c>
      <c r="D141">
        <v>35440</v>
      </c>
      <c r="E141" t="s">
        <v>31</v>
      </c>
    </row>
    <row r="142" spans="1:5" x14ac:dyDescent="0.3">
      <c r="A142" t="s">
        <v>34</v>
      </c>
      <c r="B142" t="s">
        <v>15</v>
      </c>
      <c r="C142">
        <v>2</v>
      </c>
      <c r="D142">
        <v>42405</v>
      </c>
      <c r="E142" t="s">
        <v>29</v>
      </c>
    </row>
    <row r="143" spans="1:5" x14ac:dyDescent="0.3">
      <c r="A143" t="s">
        <v>30</v>
      </c>
      <c r="B143" t="s">
        <v>19</v>
      </c>
      <c r="C143">
        <v>3</v>
      </c>
      <c r="D143">
        <v>35221</v>
      </c>
      <c r="E143" t="s">
        <v>31</v>
      </c>
    </row>
    <row r="144" spans="1:5" x14ac:dyDescent="0.3">
      <c r="A144" t="s">
        <v>28</v>
      </c>
      <c r="B144" t="s">
        <v>10</v>
      </c>
      <c r="C144">
        <v>3</v>
      </c>
      <c r="D144">
        <v>78132</v>
      </c>
      <c r="E144" t="s">
        <v>29</v>
      </c>
    </row>
    <row r="145" spans="1:5" x14ac:dyDescent="0.3">
      <c r="A145" t="s">
        <v>34</v>
      </c>
      <c r="B145" t="s">
        <v>17</v>
      </c>
      <c r="C145">
        <v>2</v>
      </c>
      <c r="D145">
        <v>30648</v>
      </c>
      <c r="E145" t="s">
        <v>29</v>
      </c>
    </row>
    <row r="146" spans="1:5" x14ac:dyDescent="0.3">
      <c r="A146" t="s">
        <v>32</v>
      </c>
      <c r="B146" t="s">
        <v>13</v>
      </c>
      <c r="C146">
        <v>5</v>
      </c>
      <c r="D146">
        <v>42107</v>
      </c>
      <c r="E146" t="s">
        <v>29</v>
      </c>
    </row>
    <row r="147" spans="1:5" x14ac:dyDescent="0.3">
      <c r="A147" t="s">
        <v>34</v>
      </c>
      <c r="B147" t="s">
        <v>13</v>
      </c>
      <c r="C147">
        <v>0</v>
      </c>
      <c r="D147">
        <v>63483</v>
      </c>
      <c r="E147" t="s">
        <v>29</v>
      </c>
    </row>
    <row r="148" spans="1:5" x14ac:dyDescent="0.3">
      <c r="A148" t="s">
        <v>28</v>
      </c>
      <c r="B148" t="s">
        <v>19</v>
      </c>
      <c r="C148">
        <v>5</v>
      </c>
      <c r="D148">
        <v>63555</v>
      </c>
      <c r="E148" t="s">
        <v>29</v>
      </c>
    </row>
    <row r="149" spans="1:5" x14ac:dyDescent="0.3">
      <c r="A149" t="s">
        <v>32</v>
      </c>
      <c r="B149" t="s">
        <v>10</v>
      </c>
      <c r="C149">
        <v>3</v>
      </c>
      <c r="D149">
        <v>88672</v>
      </c>
      <c r="E149" t="s">
        <v>29</v>
      </c>
    </row>
    <row r="150" spans="1:5" x14ac:dyDescent="0.3">
      <c r="A150" t="s">
        <v>33</v>
      </c>
      <c r="B150" t="s">
        <v>17</v>
      </c>
      <c r="C150">
        <v>5</v>
      </c>
      <c r="D150">
        <v>66910</v>
      </c>
      <c r="E150" t="s">
        <v>31</v>
      </c>
    </row>
    <row r="151" spans="1:5" x14ac:dyDescent="0.3">
      <c r="A151" t="s">
        <v>28</v>
      </c>
      <c r="B151" t="s">
        <v>19</v>
      </c>
      <c r="C151">
        <v>0</v>
      </c>
      <c r="D151">
        <v>35535</v>
      </c>
      <c r="E151" t="s">
        <v>29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3754-6E60-4AA5-8F6B-B50D220C44DA}">
  <dimension ref="A3:B9"/>
  <sheetViews>
    <sheetView workbookViewId="0">
      <selection activeCell="K26" sqref="K26"/>
    </sheetView>
  </sheetViews>
  <sheetFormatPr defaultRowHeight="14.4" x14ac:dyDescent="0.3"/>
  <cols>
    <col min="1" max="1" width="12.5546875" bestFit="1" customWidth="1"/>
    <col min="2" max="2" width="26.88671875" bestFit="1" customWidth="1"/>
    <col min="3" max="7" width="2" bestFit="1" customWidth="1"/>
    <col min="8" max="8" width="10.77734375" bestFit="1" customWidth="1"/>
  </cols>
  <sheetData>
    <row r="3" spans="1:2" x14ac:dyDescent="0.3">
      <c r="A3" s="9" t="s">
        <v>39</v>
      </c>
      <c r="B3" t="s">
        <v>41</v>
      </c>
    </row>
    <row r="4" spans="1:2" x14ac:dyDescent="0.3">
      <c r="A4" s="10" t="s">
        <v>19</v>
      </c>
      <c r="B4" s="11">
        <v>31</v>
      </c>
    </row>
    <row r="5" spans="1:2" x14ac:dyDescent="0.3">
      <c r="A5" s="10" t="s">
        <v>17</v>
      </c>
      <c r="B5" s="11">
        <v>35</v>
      </c>
    </row>
    <row r="6" spans="1:2" x14ac:dyDescent="0.3">
      <c r="A6" s="10" t="s">
        <v>13</v>
      </c>
      <c r="B6" s="11">
        <v>26</v>
      </c>
    </row>
    <row r="7" spans="1:2" x14ac:dyDescent="0.3">
      <c r="A7" s="10" t="s">
        <v>10</v>
      </c>
      <c r="B7" s="11">
        <v>35</v>
      </c>
    </row>
    <row r="8" spans="1:2" x14ac:dyDescent="0.3">
      <c r="A8" s="10" t="s">
        <v>15</v>
      </c>
      <c r="B8" s="11">
        <v>23</v>
      </c>
    </row>
    <row r="9" spans="1:2" x14ac:dyDescent="0.3">
      <c r="A9" s="10" t="s">
        <v>38</v>
      </c>
      <c r="B9" s="11">
        <v>150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FA97-CC7C-4147-9B77-9BDD2002E029}">
  <dimension ref="A1:F7"/>
  <sheetViews>
    <sheetView tabSelected="1" workbookViewId="0">
      <selection activeCell="J24" sqref="J24"/>
    </sheetView>
  </sheetViews>
  <sheetFormatPr defaultRowHeight="14.4" x14ac:dyDescent="0.3"/>
  <cols>
    <col min="1" max="1" width="22.21875" customWidth="1"/>
    <col min="3" max="3" width="14.6640625" customWidth="1"/>
    <col min="4" max="4" width="16.88671875" customWidth="1"/>
    <col min="5" max="5" width="13" customWidth="1"/>
    <col min="6" max="6" width="13.77734375" customWidth="1"/>
  </cols>
  <sheetData>
    <row r="1" spans="1:6" x14ac:dyDescent="0.3">
      <c r="A1" t="s">
        <v>42</v>
      </c>
      <c r="B1" t="s">
        <v>43</v>
      </c>
      <c r="E1" t="s">
        <v>2</v>
      </c>
      <c r="F1" t="s">
        <v>49</v>
      </c>
    </row>
    <row r="2" spans="1:6" x14ac:dyDescent="0.3">
      <c r="A2" t="s">
        <v>44</v>
      </c>
      <c r="B2">
        <f>COUNTA(Employee_Data!A:A)-1</f>
        <v>200</v>
      </c>
      <c r="E2" t="s">
        <v>48</v>
      </c>
      <c r="F2">
        <f>COUNTIF(Employee_Data!C:C,E2)</f>
        <v>0</v>
      </c>
    </row>
    <row r="3" spans="1:6" x14ac:dyDescent="0.3">
      <c r="A3" t="s">
        <v>45</v>
      </c>
      <c r="B3">
        <f>COUNTIF(Employee_Data!J:J,"Yes")</f>
        <v>135</v>
      </c>
      <c r="E3" t="s">
        <v>9</v>
      </c>
      <c r="F3">
        <f>COUNTIF(Employee_Data!C:C,E3)</f>
        <v>33</v>
      </c>
    </row>
    <row r="4" spans="1:6" x14ac:dyDescent="0.3">
      <c r="A4" t="s">
        <v>46</v>
      </c>
      <c r="B4">
        <f>AVERAGE(Employee_Data!D:D)</f>
        <v>56182.275000000001</v>
      </c>
      <c r="E4" t="s">
        <v>12</v>
      </c>
      <c r="F4">
        <f>COUNTIF(Employee_Data!C:C,E4)</f>
        <v>51</v>
      </c>
    </row>
    <row r="5" spans="1:6" x14ac:dyDescent="0.3">
      <c r="A5" t="s">
        <v>47</v>
      </c>
      <c r="B5">
        <f>COUNTIF(Employee_Data!J:J,"Yes")/COUNTA(Employee_Data!A:A)*100</f>
        <v>67.164179104477611</v>
      </c>
      <c r="E5" t="s">
        <v>21</v>
      </c>
      <c r="F5">
        <f>COUNTIF(Employee_Data!C:C,E5)</f>
        <v>37</v>
      </c>
    </row>
    <row r="6" spans="1:6" x14ac:dyDescent="0.3">
      <c r="E6" t="s">
        <v>16</v>
      </c>
      <c r="F6">
        <f>COUNTIF(Employee_Data!C:C,E6)</f>
        <v>37</v>
      </c>
    </row>
    <row r="7" spans="1:6" x14ac:dyDescent="0.3">
      <c r="E7" t="s">
        <v>18</v>
      </c>
      <c r="F7">
        <f>COUNTIF(Employee_Data!C:C,E7)</f>
        <v>42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Employee_Data</vt:lpstr>
      <vt:lpstr>Chart1</vt:lpstr>
      <vt:lpstr>Chart2</vt:lpstr>
      <vt:lpstr>Job_Data</vt:lpstr>
      <vt:lpstr>Chart3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UJJWAL ANAND</cp:lastModifiedBy>
  <dcterms:created xsi:type="dcterms:W3CDTF">2026-04-04T11:38:55Z</dcterms:created>
  <dcterms:modified xsi:type="dcterms:W3CDTF">2026-04-04T15:31:02Z</dcterms:modified>
</cp:coreProperties>
</file>